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Leads" sheetId="2" r:id="rId2"/>
    <sheet name="Local First" sheetId="3" r:id="rId3"/>
    <sheet name="Fruit Plan" sheetId="4" r:id="rId4"/>
    <sheet name="Business Fit" sheetId="5" r:id="rId5"/>
    <sheet name="Email Drafts" sheetId="6" r:id="rId6"/>
    <sheet name="Contact Log" sheetId="7" r:id="rId7"/>
    <sheet name="Pilot Costing" sheetId="8" r:id="rId8"/>
    <sheet name="Sources" sheetId="9" r:id="rId9"/>
  </sheets>
  <definedNames>
    <definedName name="_xlnm.Print_Titles" localSheetId="4">'Business Fit'!$1:$5</definedName>
    <definedName name="_xlnm.Print_Titles" localSheetId="6">'Contact Log'!$1:$5</definedName>
    <definedName name="_xlnm.Print_Titles" localSheetId="5">'Email Drafts'!$1:$5</definedName>
    <definedName name="_xlnm.Print_Titles" localSheetId="3">'Fruit Plan'!$1:$5</definedName>
    <definedName name="_xlnm.Print_Titles" localSheetId="1">Leads!$1:$5</definedName>
    <definedName name="_xlnm.Print_Titles" localSheetId="2">'Local First'!$1:$5</definedName>
    <definedName name="_xlnm.Print_Titles" localSheetId="7">'Pilot Costing'!$1:$5</definedName>
    <definedName name="_xlnm.Print_Titles" localSheetId="8">Sources!$1:$5</definedName>
    <definedName name="_xlnm.Print_Titles" localSheetId="0">'Start Here'!$1:$5</definedName>
  </definedNames>
  <calcPr calcId="124519" fullCalcOnLoad="1"/>
</workbook>
</file>

<file path=xl/sharedStrings.xml><?xml version="1.0" encoding="utf-8"?>
<sst xmlns="http://schemas.openxmlformats.org/spreadsheetml/2006/main" count="3242" uniqueCount="1132">
  <si>
    <t>Dehydrated fruit B2B prospecting</t>
  </si>
  <si>
    <t>50 prospects | Poranki first | Research date: 23 October 2026 | Public contacts checked against web sources; not phone-verified.</t>
  </si>
  <si>
    <t>Total prospects</t>
  </si>
  <si>
    <t>Poranki / Kanuru / Tadigadapa belt</t>
  </si>
  <si>
    <t>Other Vijayawada</t>
  </si>
  <si>
    <t>Hyderabad</t>
  </si>
  <si>
    <t>Other South India</t>
  </si>
  <si>
    <t>Published business emails</t>
  </si>
  <si>
    <t>Published business phones</t>
  </si>
  <si>
    <t>Official website contact records</t>
  </si>
  <si>
    <t>Confirmed buyers</t>
  </si>
  <si>
    <t>Messages sent</t>
  </si>
  <si>
    <t>Start with orange and lemon wheel trials. Offer lime separately; test pineapple next. These are trial priorities, not a measured list of the most purchased fruits.</t>
  </si>
  <si>
    <t>Local First</t>
  </si>
  <si>
    <t>25 nearby prospects with contacts and next actions; begin calls here.</t>
  </si>
  <si>
    <t>Leads</t>
  </si>
  <si>
    <t>All 50 prospects, source links, evidence, contact caveats and suggested fruit uses.</t>
  </si>
  <si>
    <t>Fruit Plan</t>
  </si>
  <si>
    <t>Suggested product order and buyer questions; actual demand must be validated.</t>
  </si>
  <si>
    <t>Business Fit</t>
  </si>
  <si>
    <t>What to offer each business type and who to approach.</t>
  </si>
  <si>
    <t>Email Drafts</t>
  </si>
  <si>
    <t>Seven editable email drafts; replace bracketed fields before sending.</t>
  </si>
  <si>
    <t>Contact Log</t>
  </si>
  <si>
    <t>Editable outreach tracker. No messages have been sent.</t>
  </si>
  <si>
    <t>Pilot Costing</t>
  </si>
  <si>
    <t>Enter measured batch costs and output before setting a price.</t>
  </si>
  <si>
    <t>Sources</t>
  </si>
  <si>
    <t>Public contact, menu and research URLs; date is research date, not publication date.</t>
  </si>
  <si>
    <t>Source review means the page or indexed result was reviewed. No number was called, inbox tested, site visit made or buyer contacted.</t>
  </si>
  <si>
    <t>Not publicly found means no usable public contact was found in this research; it does not prove no business email exists.</t>
  </si>
  <si>
    <t>P1 = local early outreach; P2 = qualified follow-up / Hyderabad; P3 = expansion or extra qualification. Geographic tier determines the starting route.</t>
  </si>
  <si>
    <t>The 50 rows represent venue prospects, not 50 independent purchasing accounts. Read the buying-group and contact notes before outreach.</t>
  </si>
  <si>
    <t>Only Lush explicitly lists a dehydrated fruit in the reviewed menu. Other fruit matches are inferred. No source establishes local purchase volumes.</t>
  </si>
  <si>
    <t>Source JSON retains two extra lower-fit Vizag candidates excluded from the first 50. General inboxes and reservation lines need routing to a buyer.</t>
  </si>
  <si>
    <t>Workbook values are a dated snapshot. Recheck operation, menu, contacts and delivery address before sending samples. Contact sources include official and directory evidence.</t>
  </si>
  <si>
    <t>50 researched business prospects</t>
  </si>
  <si>
    <t>Dated research snapshot. Suggested fruits are inferred; read caveats and sources before outreach. Record later calls, replies and status changes in Contact Log.</t>
  </si>
  <si>
    <t>Lead ID</t>
  </si>
  <si>
    <t>Priority</t>
  </si>
  <si>
    <t>Business / venue</t>
  </si>
  <si>
    <t>Business type</t>
  </si>
  <si>
    <t>Geographic order</t>
  </si>
  <si>
    <t>City</t>
  </si>
  <si>
    <t>Locality</t>
  </si>
  <si>
    <t>Suggested fruits (inferred)</t>
  </si>
  <si>
    <t>Public business email</t>
  </si>
  <si>
    <t>Public business phone</t>
  </si>
  <si>
    <t>Next action</t>
  </si>
  <si>
    <t>Ask for</t>
  </si>
  <si>
    <t>Published address</t>
  </si>
  <si>
    <t>State</t>
  </si>
  <si>
    <t>Website</t>
  </si>
  <si>
    <t>Proposed use (inferred)</t>
  </si>
  <si>
    <t>Evidence level</t>
  </si>
  <si>
    <t>Menu / business evidence</t>
  </si>
  <si>
    <t>Contact source quality</t>
  </si>
  <si>
    <t>Contact caveats</t>
  </si>
  <si>
    <t>Contact source URLs</t>
  </si>
  <si>
    <t>Menu / fit source URL</t>
  </si>
  <si>
    <t>Source review date</t>
  </si>
  <si>
    <t>Buying group / coordination</t>
  </si>
  <si>
    <t>Buyer demand status</t>
  </si>
  <si>
    <t>Initial outreach status</t>
  </si>
  <si>
    <t>L001</t>
  </si>
  <si>
    <t>P1</t>
  </si>
  <si>
    <t>Bratt Brewery + Bratt Cafe</t>
  </si>
  <si>
    <t>Brewery / cafe</t>
  </si>
  <si>
    <t>1 Poranki belt</t>
  </si>
  <si>
    <t>Vijayawada</t>
  </si>
  <si>
    <t>Kanuru / Poranki rural, 100 Feet Road</t>
  </si>
  <si>
    <t>Orange wheels; lemon/lime wheels; pineapple slices</t>
  </si>
  <si>
    <t>Not publicly found</t>
  </si>
  <si>
    <t>+91 72071 86699 (brewery); +91 72073 46699 (cafe)</t>
  </si>
  <si>
    <t>Call the outlet to identify the buyer and arrange a short sample visit.</t>
  </si>
  <si>
    <t>Bar manager / beverage head / owner</t>
  </si>
  <si>
    <t>New Autonagar, 100 Feet Road, opposite Anne Vasari Kalyana Mandapam, Kanuru, Poranki rural, Vijayawada, Andhra Pradesh</t>
  </si>
  <si>
    <t>Andhra Pradesh</t>
  </si>
  <si>
    <t>INFERRED: cocktail/mocktail garnish pilot and cafe dessert garnish.</t>
  </si>
  <si>
    <t>Relevant menu or offering</t>
  </si>
  <si>
    <t>Separate brewery and cafe listings at the Kanuru/Poranki 100 Feet Road site; cafe lists beverages, shakes and desserts. Need for dehydrated garnish is inferred, not a confirmed purchase.</t>
  </si>
  <si>
    <t>Directory; recheck</t>
  </si>
  <si>
    <t>Brewery and cafe grouped as one prospect to avoid double-counting a likely shared buying account. Cafe phone and R.S.114/3 address from https://www.zomato.com/vijayawada/bratt-cafe-poranki . Verify buyer covers both.</t>
  </si>
  <si>
    <t>https://www.district.in/dining/vijayawada/bratt-brewery-poranki
https://www.zomato.com/vijayawada/bratt-cafe-poranki</t>
  </si>
  <si>
    <t>https://www.zomato.com/vijayawada/bratt-cafe-poranki</t>
  </si>
  <si>
    <t>2026-10-23</t>
  </si>
  <si>
    <t>Bratt brewery and cafe grouped as one prospect; shared purchasing is inferred and must be confirmed</t>
  </si>
  <si>
    <t>Unconfirmed; no buyer contacted</t>
  </si>
  <si>
    <t>Not contacted</t>
  </si>
  <si>
    <t>L002</t>
  </si>
  <si>
    <t>Fat Biddy</t>
  </si>
  <si>
    <t>Cafe / desserts</t>
  </si>
  <si>
    <t>Chalasani Nagar, Kanuru / Poranki belt</t>
  </si>
  <si>
    <t>Banana pieces; pineapple slices; orange wheels</t>
  </si>
  <si>
    <t>+91 78422 28887</t>
  </si>
  <si>
    <t>Owner / cafe manager / beverage lead</t>
  </si>
  <si>
    <t>Chalasani Nagar, Pantakaluva Road, Poranki, Vijayawada, Andhra Pradesh</t>
  </si>
  <si>
    <t>INFERRED: toppings for desserts and shakes; citrus garnish for suitable beverages.</t>
  </si>
  <si>
    <t>Listing includes desserts, shakes, ice cream, healthy food and beverages. Directory locality is Poranki; nearby listings describe Kanuru.</t>
  </si>
  <si>
    <t>Directory address differs from older listings showing Police Station Road/Padmaja Nagar, Kanuru. Call to confirm exact current storefront before visiting.</t>
  </si>
  <si>
    <t>https://www.district.in/dining/vijayawada/fat-biddy-poranki</t>
  </si>
  <si>
    <t>https://www.zomato.com/vijayawada/fat-biddy-poranki</t>
  </si>
  <si>
    <t>Not publicly confirmed; ask outlet</t>
  </si>
  <si>
    <t>L003</t>
  </si>
  <si>
    <t>Hot Spot Restaurant &amp; Cafe</t>
  </si>
  <si>
    <t>Restaurant / cafe</t>
  </si>
  <si>
    <t>Tadigadapa / Poranki</t>
  </si>
  <si>
    <t>Lemon/lime wheels; orange wheels</t>
  </si>
  <si>
    <t>+91 90858 56969</t>
  </si>
  <si>
    <t>Tadigadapa, Poranki, Andhra Pradesh 521137; exact street/door number not publicly found</t>
  </si>
  <si>
    <t>https://www.hotspotcafe.in</t>
  </si>
  <si>
    <t>INFERRED: sample citrus garnishes only after confirming that the outlet serves suitable cold drinks.</t>
  </si>
  <si>
    <t>Segment fit only</t>
  </si>
  <si>
    <t>Directory identifies a restaurant/cafe in Tadigadapa/Poranki; a current item-level drinks menu was not available in the reviewed source.</t>
  </si>
  <si>
    <t>Directory-listed website timed out during review. Phone and locality are directory sourced; confirm exact premises and current beverage menu first. Phone also matches the Yandex business listing. Regular hours appear on current directories; live operating status is not confirmed.</t>
  </si>
  <si>
    <t>https://magicpin.in/Vijayawada/Poranki/Restaurant/Hot-Spot-Restaurant-and-Cafe/store/1910a34
https://yandex.com/maps/org/hot_spot_restaurant_cafe/149841113664/</t>
  </si>
  <si>
    <t>https://magicpin.in/Vijayawada/Poranki/Restaurant/Hot-Spot-Restaurant-and-Cafe/store/1910a34</t>
  </si>
  <si>
    <t>L004</t>
  </si>
  <si>
    <t>Seven Days Bakery / Sevendays Cafe by Ideal Foods - Tadigadapa</t>
  </si>
  <si>
    <t>Bakery / cafe</t>
  </si>
  <si>
    <t>Pineapple slices; banana pieces; orange wheels</t>
  </si>
  <si>
    <t>+91 79971 21212; +91 90102 35854</t>
  </si>
  <si>
    <t>Bakery owner / pastry chef / store manager</t>
  </si>
  <si>
    <t>D.2-151, Ground Floor, Tadigadapa Village, Tadigadapa-Penamaluru Road, Poranki, Vijayawada, Andhra Pradesh</t>
  </si>
  <si>
    <t>INFERRED: dessert decoration and topping trials; citrus for compatible cold drinks.</t>
  </si>
  <si>
    <t>Bakery listing includes cakes, desserts, shakes and beverages; dried-fruit use is a proposed trial.</t>
  </si>
  <si>
    <t>Phone 7997121212 appears on Restaurant Guru; 9010235854 on Zomato. Confirm current operating name and buyer. Omitted directory-linked sevendayscafe.com because it redirected to an unrelated gambling site on review.</t>
  </si>
  <si>
    <t>https://restaurant-guru.in/Seven-Days-Cafe-Vijayawada-3
https://www.zomato.com/vijayawada/sevendays-cafe-by-ideal-foods-poranki</t>
  </si>
  <si>
    <t>https://www.zomato.com/vijayawada/sevendays-cafe-by-ideal-foods-poranki</t>
  </si>
  <si>
    <t>Seven Days / Ideal Foods (directory branding); local versus central purchasing unconfirmed</t>
  </si>
  <si>
    <t>L005</t>
  </si>
  <si>
    <t>P2</t>
  </si>
  <si>
    <t>Waffle World &amp; Co. - Kanuru / Poranki</t>
  </si>
  <si>
    <t>Kanuru Pantakalava Road / Penamaluru Police Station</t>
  </si>
  <si>
    <t>Banana pieces (first trial); pineapple pieces (optional)</t>
  </si>
  <si>
    <t>+91 90595 96706</t>
  </si>
  <si>
    <t>Call to confirm the current outlet, ask for the owner, and arrange a small sample visit.</t>
  </si>
  <si>
    <t>Owner / cafe manager</t>
  </si>
  <si>
    <t>Door 5-182, near Penamaluru Police Station, Kanuru Pantakalava Road, Poranki, Vijayawada, Andhra Pradesh</t>
  </si>
  <si>
    <t>INFERRED: small dried-banana topping trial paired with chocolate/caramel waffles; confirm texture and selling-price fit.</t>
  </si>
  <si>
    <t>Ordering menu lists chocolate, caramel and Nutella waffles. Dried fruit is a proposed new topping, not a currently documented ingredient.</t>
  </si>
  <si>
    <t>District and Zomato agree on phone and door number. Listings publish 4 PM opening; a time-of-day 'closed' label is not evidence of permanent closure. No live phone confirmation or public business email found.</t>
  </si>
  <si>
    <t>https://www.district.in/dining/vijayawada/waffle-world-co-1-poranki
https://www.zomato.com/vijayawada/waffle-world-co-1-poranki</t>
  </si>
  <si>
    <t>https://www.zomato.com/vijayawada/waffle-world-co-1-poranki/order?contextual_menu_params=eyJkaXNoX3NlYXJjaCI6eyJ0aXRsZSI6IkJlc3QgaW4gV2FmZmxlcyIsImRpc2hfaWRzIjpbIjQxMTk5Il0sImN1aXNpbmVfaWRzIjpbXX19</t>
  </si>
  <si>
    <t>L006</t>
  </si>
  <si>
    <t>P3</t>
  </si>
  <si>
    <t>Frozen Bottle - Kanuru</t>
  </si>
  <si>
    <t>Kanuru / Pantakaluva Road</t>
  </si>
  <si>
    <t>Banana pieces; pineapple pieces; orange wheels (approved mocktail trial)</t>
  </si>
  <si>
    <t>+91 89299 96999 (published brand/store routing line)</t>
  </si>
  <si>
    <t>Call the published routing line and request the Kanuru franchise owner or ingredient-procurement contact.</t>
  </si>
  <si>
    <t>Franchise owner / brand procurement contact</t>
  </si>
  <si>
    <t>Flat 9, Pantakaluva Road, opposite NextGen School, Kanuru, Vijayawada, Andhra Pradesh 520007</t>
  </si>
  <si>
    <t>https://store.frozenbottle.com/frozen-bottle/milkshake-and-ice-cream-cafe-in-vijayawada/milkshake-and-ice-cream-cafe-in-kanuru/frozen-bottle-in-kanuru-vijayawada--41l5nU/home</t>
  </si>
  <si>
    <t>INFERRED: brand-approved dessert topping or mocktail garnish pilot, subject to franchise procurement rules.</t>
  </si>
  <si>
    <t>Official outlet page lists mocktails, milkshakes, cakes and waffles. Current Swiggy menu includes fruit-based desserts; no dehydrated fruit requirement is documented.</t>
  </si>
  <si>
    <t>Official website</t>
  </si>
  <si>
    <t>Number is published on the official Kanuru store page and may route centrally; do not assume a direct proprietor mobile. Ask whether local ingredient suppliers are permitted. Swiggy lists regular reopening hours, not permanent closure. Email not publicly found.</t>
  </si>
  <si>
    <t>https://www.swiggy.com/city/vijayawada/frozen-bottle-milkshakes-desserts-and-ice-cream-pantakaluva-road-kanuru-rest1184948</t>
  </si>
  <si>
    <t>Frozen Bottle chain; outlet sourcing freedom unconfirmed</t>
  </si>
  <si>
    <t>L007</t>
  </si>
  <si>
    <t>Besta - The Indian Kitchen</t>
  </si>
  <si>
    <t>Restaurant / mocktails</t>
  </si>
  <si>
    <t>2 Vijayawada</t>
  </si>
  <si>
    <t>Guru Nanak Colony</t>
  </si>
  <si>
    <t>Lemon/lime wheels; orange wheels; pineapple slices</t>
  </si>
  <si>
    <t>hello@besta.co.in</t>
  </si>
  <si>
    <t>+91 78913 29789</t>
  </si>
  <si>
    <t>Email a short sample offer, then call to ask for the buyer.</t>
  </si>
  <si>
    <t>Restaurant owner / beverage lead / purchasing manager</t>
  </si>
  <si>
    <t>Guru Nanak Colony Road, beside DBS Bank, above Boyapati Dairy &amp; Foods, KGO Colony, Vijayawada, Andhra Pradesh 520008</t>
  </si>
  <si>
    <t>https://besta.co.in/</t>
  </si>
  <si>
    <t>INFERRED: mocktail garnish pilot with two citrus sizes and cost per usable slice.</t>
  </si>
  <si>
    <t>Official menu has separate mocktails, drinks and dessert categories.</t>
  </si>
  <si>
    <t>Public business contact; not called and email deliverability not tested. Confirm current outlet and purchasing contact before outreach.</t>
  </si>
  <si>
    <t>https://besta.co.in/contact</t>
  </si>
  <si>
    <t>https://besta.co.in/menu</t>
  </si>
  <si>
    <t>L008</t>
  </si>
  <si>
    <t>Brunit The Brewery</t>
  </si>
  <si>
    <t>Microbrewery / bar</t>
  </si>
  <si>
    <t>MG Road</t>
  </si>
  <si>
    <t>+91 91334 68899</t>
  </si>
  <si>
    <t>Bar manager / F&amp;B manager</t>
  </si>
  <si>
    <t>D.No.40-1-154, D-Address Mall, 2nd &amp; 3rd Floor, MG Road, opposite Tipsy Topsy, Vijayawada, Andhra Pradesh 520010</t>
  </si>
  <si>
    <t>INFERRED: cocktail/mocktail garnish sampling; beer production fruit demand is not assumed.</t>
  </si>
  <si>
    <t>Directory identifies a brewery/bar; guest descriptions mention fruit beverages. Exact current cocktail menu needs buyer confirmation.</t>
  </si>
  <si>
    <t>https://www.top-rated.online/cities/Vijayawada/place/p/16580854/Brunit%2BThe%2BBrewery</t>
  </si>
  <si>
    <t>L009</t>
  </si>
  <si>
    <t>Cafe Ice Magic - Patamata</t>
  </si>
  <si>
    <t>Cafe / desserts / mocktails</t>
  </si>
  <si>
    <t>Patamata / NTR Circle</t>
  </si>
  <si>
    <t>Orange wheels; lemon/lime wheels; pineapple slices; banana pieces</t>
  </si>
  <si>
    <t>+91 79979 96441 (WhatsApp); +91 79979 96442</t>
  </si>
  <si>
    <t>59A-15-1 / 59A-15-2, Nirmala Convent Road, NTR Circle, Patamata, Vijayawada, Andhra Pradesh 520010</t>
  </si>
  <si>
    <t>https://www.cafeicemagic.com/</t>
  </si>
  <si>
    <t>INFERRED: mocktail garnish and ice-cream/shake topping trials.</t>
  </si>
  <si>
    <t>Official site has juice/mocktail, ice cream and shake categories.</t>
  </si>
  <si>
    <t>Official site displays an email-protection placeholder; no readable business email was retrieved, so it is left missing. Use published phone/WhatsApp.</t>
  </si>
  <si>
    <t>L010</t>
  </si>
  <si>
    <t>Ironhill Vijayawada</t>
  </si>
  <si>
    <t>Mogalrajapuram / Labbipet</t>
  </si>
  <si>
    <t>vijayawada@ironhill.in</t>
  </si>
  <si>
    <t>+91 93931 45678</t>
  </si>
  <si>
    <t>Bar manager / purchasing manager / F&amp;B manager</t>
  </si>
  <si>
    <t>40-7-6, Gowriah Street, Mogalrajapuram, Labbipet, Vijayawada, Andhra Pradesh 520010</t>
  </si>
  <si>
    <t>https://ironhillindia.com/vijayawada/</t>
  </si>
  <si>
    <t>INFERRED: consistent garnish portions for cocktails and mocktails.</t>
  </si>
  <si>
    <t>Official outlet site supplies a drinks-menu link and brewery/bar details; no dehydrated-fruit order volume is disclosed.</t>
  </si>
  <si>
    <t>Ironhill India; Vijayawada outlet buying autonomy unconfirmed</t>
  </si>
  <si>
    <t>L011</t>
  </si>
  <si>
    <t>Mr Mocktails</t>
  </si>
  <si>
    <t>Mocktail cafe / beverage shop</t>
  </si>
  <si>
    <t>Auto Nagar / Pantakaluva Road</t>
  </si>
  <si>
    <t>Lemon/lime wheels; pineapple slices; orange wheels</t>
  </si>
  <si>
    <t>+91 86866 49099</t>
  </si>
  <si>
    <t>Owner / beverage lead</t>
  </si>
  <si>
    <t>Plot 75, Pantakaluva Road (listed as Panatakaluva Road), Auto Nagar, Vijayawada, Andhra Pradesh</t>
  </si>
  <si>
    <t>INFERRED: garnish trials for mojitos, Pina Colada and iced tea; dried slices do not replace recipe juice.</t>
  </si>
  <si>
    <t>Item-level menu lists nonalcoholic Pina Colada, mojito variations, fruit punch, pineapple shake and lemon iced tea.</t>
  </si>
  <si>
    <t>Zomato publishes the phone and Plot 75 address; Magicpin independently lists the outlet category/menu. Low review volume, so confirm current operation before visiting. Keep locality as Auto Nagar; do not label it Poranki without confirmation.</t>
  </si>
  <si>
    <t>https://www.zomato.com/vijayawada/mr-mocktails-auto-nagar</t>
  </si>
  <si>
    <t>https://www.zomato.com/vijayawada/mr-mocktails-auto-nagar/order</t>
  </si>
  <si>
    <t>L012</t>
  </si>
  <si>
    <t>Vault Brewery</t>
  </si>
  <si>
    <t>Gayatri Nagar / Benz Circle</t>
  </si>
  <si>
    <t>vaultbrewery@gmail.com</t>
  </si>
  <si>
    <t>+91 85180 45678</t>
  </si>
  <si>
    <t>Bar manager / purchasing manager</t>
  </si>
  <si>
    <t>VSN Mall, Gayatri Nagar, Benz Circle, Vijayawada, Andhra Pradesh 520008</t>
  </si>
  <si>
    <t>INFERRED: bar garnish trial; assess existing in-house dehydration and supplier arrangements.</t>
  </si>
  <si>
    <t>District provides beverage and bar menu sections; email appears on a map directory.</t>
  </si>
  <si>
    <t>Email from Mapcarta/OpenStreetMap; phone from https://www.district.in/dining/vijayawada/vault-brewery-gurunanak-colony . Both require a live recheck. No outreach performed.</t>
  </si>
  <si>
    <t>https://mapcarta.com/N8441962506
https://www.district.in/dining/vijayawada/vault-brewery-gurunanak-colony</t>
  </si>
  <si>
    <t>https://www.district.in/dining/vijayawada/vault-brewery-gurunanak-colony</t>
  </si>
  <si>
    <t>L013</t>
  </si>
  <si>
    <t>Verandah Coffee Roasters &amp; Cafe</t>
  </si>
  <si>
    <t>Cafe</t>
  </si>
  <si>
    <t>Orange wheels; lemon wheels; banana pieces (dessert trial)</t>
  </si>
  <si>
    <t>verandahcoffeeroasters@gmail.com</t>
  </si>
  <si>
    <t>+91 81792 57535</t>
  </si>
  <si>
    <t>54-20-6, Road 1, KGO Colony, Guru Nanak Colony, Vijayawada, Andhra Pradesh 520008</t>
  </si>
  <si>
    <t>INFERRED: drink garnishes and a small dessert-topping trial; confirm menu fit with buyer.</t>
  </si>
  <si>
    <t>Cafe, bakery, desserts and beverages are listed. Contact is also on the business-claimed Tripadvisor listing.</t>
  </si>
  <si>
    <t>Email is a public business inbox, also published at https://www.tripadvisor.in/Restaurant_Review-g303876-d21012706-Reviews-Verandah_Coffee_Roasters_Cafe-Vijayawada_Krishna_District_Andhra_Pradesh.html . Directory evidence; recheck.</t>
  </si>
  <si>
    <t>https://threebestrated.in/verandah-coffee-roasters-and-caf-cafes-vijayawada-ap-ZKZw5
https://www.tripadvisor.in/Restaurant_Review-g303876-d21012706-Reviews-Verandah_Coffee_Roasters_Cafe-Vijayawada_Krishna_District_Andhra_Pradesh.html</t>
  </si>
  <si>
    <t>https://www.zomato.com/vijayawada/verandah-coffee-roasters-and-caf%C3%A9-auto-nagar</t>
  </si>
  <si>
    <t>L014</t>
  </si>
  <si>
    <t>Zamindar Haus</t>
  </si>
  <si>
    <t>Restaurant / mocktails / catering</t>
  </si>
  <si>
    <t>Gayatri Nagar</t>
  </si>
  <si>
    <t>info@zamindarhaus.com</t>
  </si>
  <si>
    <t>+91 99889 96069</t>
  </si>
  <si>
    <t>Beverage lead / executive chef / owner</t>
  </si>
  <si>
    <t>D.No.59-5/10, Sri Kadiyala Venkaiah Gari Street, 2nd Line, Gayatri Nagar, Vijayawada, Andhra Pradesh 520008</t>
  </si>
  <si>
    <t>https://zamindarhaus.com/</t>
  </si>
  <si>
    <t>INFERRED: premium mocktail presentation and catered-event garnish trial.</t>
  </si>
  <si>
    <t>Official website explicitly promotes handcrafted mocktails and zero-proof infusions.</t>
  </si>
  <si>
    <t>L015</t>
  </si>
  <si>
    <t>Brew Buzz - Labbipet</t>
  </si>
  <si>
    <t>Gayatri Nagar / Labbipet</t>
  </si>
  <si>
    <t>Lemon wheels; orange wheels; banana pieces</t>
  </si>
  <si>
    <t>brewbuzzcafe.2015@gmail.com</t>
  </si>
  <si>
    <t>+91 99511 83111</t>
  </si>
  <si>
    <t>59-7/9, Babu Textiles Road, 1st Lane, opposite LEPL Project Office, Gayatri Nagar, Vijayawada, Andhra Pradesh</t>
  </si>
  <si>
    <t>Menu listing has coffee and fresh lime soda; banana shake is also listed in the contact directory.</t>
  </si>
  <si>
    <t>Source shows an inconsistent postal code, so PIN omitted. Email is directory-published; verify with outlet. Do not assume other Brew Buzz branches use this buyer. QA distinguished this outlet from the permanently closed Brew Buzz Gollapudi branch.</t>
  </si>
  <si>
    <t>https://threebestrated.in/brew-buzz-cafes-vijayawada-ap-8avFa
https://www.zomato.com/vijayawada/brew-buzz-labbipet/info?contextual_menu_params=eyJkaXNoX3NlYXJjaCI6eyJ0aXRsZSI6IkJlc3QgaW4gU3RyZWV0IEZvb2QiLCJkaXNoX2lkcyI6W10sImN1aXNpbmVfaWRzIjpbIjkwIl19fQ%3D%3D</t>
  </si>
  <si>
    <t>https://www.swiggy.com/city/vijayawada/brew-buzz-labbipet-rest93013</t>
  </si>
  <si>
    <t>L016</t>
  </si>
  <si>
    <t>Brew Theory</t>
  </si>
  <si>
    <t>Guru Nanak Colony / CTO Colony</t>
  </si>
  <si>
    <t>Orange wheels; lemon wheels</t>
  </si>
  <si>
    <t>+91 87121 21266</t>
  </si>
  <si>
    <t>Plot 50, CTO Colony, Road 1, Guru Nanak Colony, Vijayawada, Andhra Pradesh 520008</t>
  </si>
  <si>
    <t>INFERRED: limited citrus-garnish trial after confirming suitable beverages.</t>
  </si>
  <si>
    <t>Coffee-shop directory and newer Zomato listing identify the outlet; item-level cold-drink menu was not verified.</t>
  </si>
  <si>
    <t>Zomato publishes 8712121266; another directory lists 9014222222. Use initial call to verify current number, storefront and buyer. Unrelated US Brew Theory contacts were excluded.</t>
  </si>
  <si>
    <t>https://www.zomato.com/vijayawada/brew-theory-gurunanak-colony/info?contextual_menu_params=eyJkaXNoX3NlYXJjaCI6eyJ0aXRsZSI6IkJlc3QgaW4gUGl6emEiLCJkaXNoX2lkcyI6W10sImN1aXNpbmVfaWRzIjpbIjgyIl19fQ%3D%3D
https://rokazu.com/coffee-shops-in-vijayawada-india/</t>
  </si>
  <si>
    <t>https://rokazu.com/coffee-shops-in-vijayawada-india/</t>
  </si>
  <si>
    <t>L017</t>
  </si>
  <si>
    <t>Cafe Kubera</t>
  </si>
  <si>
    <t>Orange wheels; lemon wheels; pineapple slices</t>
  </si>
  <si>
    <t>cafekubera2223@gmail.com</t>
  </si>
  <si>
    <t>+91 96525 44239</t>
  </si>
  <si>
    <t>3rd Line, near Guru Nanak Colony, Vijayawada, Andhra Pradesh (official site); directory: 22, 2nd Cross Road, KGO Colony</t>
  </si>
  <si>
    <t>https://cafekubera.in/</t>
  </si>
  <si>
    <t>Official site describes cold brews and desserts; District lists beverages, coffee and desserts.</t>
  </si>
  <si>
    <t>Official site contact was visible in indexed results, but direct fetch required JavaScript. Official and directory street descriptions/PIN differ; confirm current address by phone.</t>
  </si>
  <si>
    <t>https://www.district.in/dining/vijayawada/cafe-kubera-gurunanak-colony</t>
  </si>
  <si>
    <t>L018</t>
  </si>
  <si>
    <t>Cinema Cafe &amp; Restaurant</t>
  </si>
  <si>
    <t>Cafe / restaurant</t>
  </si>
  <si>
    <t>LIC Colony / ITI Road</t>
  </si>
  <si>
    <t>Orange wheels; lemon wheels; banana pieces</t>
  </si>
  <si>
    <t>+91 91707 07666 (directory); +91 91779 10617 (Zomato)</t>
  </si>
  <si>
    <t>Main Road, opposite Government ITI College, LIC Colony, Vijayawada, Andhra Pradesh 520008; Zomato specifies D.54-18-24, Plot 61</t>
  </si>
  <si>
    <t>http://www.cinemacafe.co.in/</t>
  </si>
  <si>
    <t>Current Zomato listing includes beverages, coffee and desserts, and provides a beverage-menu page.</t>
  </si>
  <si>
    <t>Directory phone 9170707666 is corroborated by Snapchat's business listing; Zomato publishes 9177910617 and D.54-18-24, Plot 61. Call to resolve current number and premises. Swiggy Dineout also lists the LIC Colony outlet with regular hours. No live contact made.</t>
  </si>
  <si>
    <t>https://yappe.in/andhra-pradesh/vijayawada/cinema-cafe/836928
https://www.zomato.com/vijayawada/cinema-cafe-christurajupuram</t>
  </si>
  <si>
    <t>https://www.zomato.com/vijayawada/cinema-cafe-christurajupuram</t>
  </si>
  <si>
    <t>L019</t>
  </si>
  <si>
    <t>Coffea - Labbipet</t>
  </si>
  <si>
    <t>Labbipet / Krishna Nagar</t>
  </si>
  <si>
    <t>+91 98847 26205</t>
  </si>
  <si>
    <t>40-3/1-41, Kamineni Vari Street, Krishna Nagar, Labbipet, Vijayawada, Andhra Pradesh 520010</t>
  </si>
  <si>
    <t>Outlet listing includes a three-page beverage menu, coffee and desserts.</t>
  </si>
  <si>
    <t>Did not attach coffeafoods.com corporate email because the relationship between this local outlet and the similarly named chain was not established. Confirm current outlet status and buyer by phone.</t>
  </si>
  <si>
    <t>https://www.zomato.com/vijayawada/coffea-labbipet
https://restaurant-guru.in/COFFEA-Vijayawada</t>
  </si>
  <si>
    <t>https://www.zomato.com/vijayawada/coffea-labbipet</t>
  </si>
  <si>
    <t>L020</t>
  </si>
  <si>
    <t>Froth and Friends</t>
  </si>
  <si>
    <t>+91 98524 43999; +91 97059 81111</t>
  </si>
  <si>
    <t>93, Maruti Cooperative Colony, near Funtimes Club, Guru Nanak Colony, Vijayawada, Andhra Pradesh</t>
  </si>
  <si>
    <t>Listing includes bakery, beverages and cafe menu categories.</t>
  </si>
  <si>
    <t>https://www.district.in/dining/vijayawada/froth-and-friends-gurunanak-colony</t>
  </si>
  <si>
    <t>https://www.zomato.com/vijayawada/froth-and-friends-gurunanak-colony/book</t>
  </si>
  <si>
    <t>L021</t>
  </si>
  <si>
    <t>Lavish Leaves Cafe and Restaurant</t>
  </si>
  <si>
    <t>Bharathi Nagar</t>
  </si>
  <si>
    <t>lavishleavescafe@gmail.com</t>
  </si>
  <si>
    <t>+91 96424 55166</t>
  </si>
  <si>
    <t>Plot 4, Road 14, Bharathi Nagar, near Novotel, Vijayawada, Andhra Pradesh 520008</t>
  </si>
  <si>
    <t>https://lavishleavescafe.com/</t>
  </si>
  <si>
    <t>Official site presents a cafe/restaurant with coffee and dessert offerings. Suggested fruit products are a menu-development trial.</t>
  </si>
  <si>
    <t>L022</t>
  </si>
  <si>
    <t>Novotel Vijayawada Varun - Food Exchange / Gourmet Bar</t>
  </si>
  <si>
    <t>Hotel F&amp;B / bar</t>
  </si>
  <si>
    <t>Bharathi Nagar / Benz Circle</t>
  </si>
  <si>
    <t>Orange wheels; lemon/lime wheels; pineapple slices; banana pieces (breakfast trial)</t>
  </si>
  <si>
    <t>ha0l1-fb@accor.com</t>
  </si>
  <si>
    <t>+91 77997 41022 (F&amp;B); +91 866 668 8999 (hotel)</t>
  </si>
  <si>
    <t>F&amp;B manager / bar manager / purchasing manager</t>
  </si>
  <si>
    <t>Bharathi Nagar, near Benz Circle, Vijayawada, Andhra Pradesh 520008</t>
  </si>
  <si>
    <t>https://all.accor.com/hotel/A0L1/index.en.shtml</t>
  </si>
  <si>
    <t>INFERRED: bar garnishes, event service and chef-approved breakfast/dessert toppings.</t>
  </si>
  <si>
    <t>Official hotel page lists Food Exchange, Red Bowl and Gourmet Bar; F&amp;B email and phone are published.</t>
  </si>
  <si>
    <t>Use the published F&amp;B inbox, not the reservations inbox. Likely formal vendor onboarding; ask about sample specification, approval process and payment terms.</t>
  </si>
  <si>
    <t>Novotel Vijayawada Varun hotel F&amp;B; treat its restaurants and bar as one purchasing prospect</t>
  </si>
  <si>
    <t>L023</t>
  </si>
  <si>
    <t>Quality Hotel D V Manor</t>
  </si>
  <si>
    <t>Hotel F&amp;B</t>
  </si>
  <si>
    <t>MG Road / Benz Circle</t>
  </si>
  <si>
    <t>Orange wheels; lemon wheels; banana pieces; pineapple pieces</t>
  </si>
  <si>
    <t>info@hoteldvmanor.com</t>
  </si>
  <si>
    <t>+91 866 663 4455; +91 90006 74455</t>
  </si>
  <si>
    <t>Call reception for the F&amp;B or purchasing manager; follow with a short sample proposal.</t>
  </si>
  <si>
    <t>F&amp;B manager / executive chef / purchasing manager</t>
  </si>
  <si>
    <t>MG Road, Vijayawada, Andhra Pradesh 520010</t>
  </si>
  <si>
    <t>https://www.hoteldvmanor.com/</t>
  </si>
  <si>
    <t>INFERRED: chef-approved breakfast/dessert toppings and any suitable beverage garnishes.</t>
  </si>
  <si>
    <t>Official contact page identifies a business hotel and breakfast service. Fruit application requires a chef/menu discussion.</t>
  </si>
  <si>
    <t>Public general-info/reservation contacts, not direct procurement. Some site pages contain template text; use verified contact page and phone to confirm exact delivery entrance.</t>
  </si>
  <si>
    <t>https://www.hoteldvmanor.com/contact.php</t>
  </si>
  <si>
    <t>L024</t>
  </si>
  <si>
    <t>Siesta Dessert Cafe</t>
  </si>
  <si>
    <t>Dessert cafe / bakery</t>
  </si>
  <si>
    <t>Satyanarayana Puram</t>
  </si>
  <si>
    <t>Banana pieces; pineapple pieces; mango strips (seasonal trial)</t>
  </si>
  <si>
    <t>+91 89770 57699</t>
  </si>
  <si>
    <t>Owner / pastry chef</t>
  </si>
  <si>
    <t>23-2-17/1, G S Raju Road, Lakshmi Nagar, Satyanarayana Puram, Vijayawada, Andhra Pradesh 520011</t>
  </si>
  <si>
    <t>https://www.siestadessertcafe.in/</t>
  </si>
  <si>
    <t>INFERRED: small topping and cake-decoration trials; confirm desired chew/crispness with pastry lead.</t>
  </si>
  <si>
    <t>Official menu description includes Belgian waffles, artisan cakes and thickshakes.</t>
  </si>
  <si>
    <t>L025</t>
  </si>
  <si>
    <t>Vivanta Vijayawada, MG Road</t>
  </si>
  <si>
    <t>Orange wheels; lemon/lime wheels; pineapple slices; banana pieces (chef trial)</t>
  </si>
  <si>
    <t>bookvivanta.vijayawada@tajhotels.com</t>
  </si>
  <si>
    <t>+91 866 664 4444</t>
  </si>
  <si>
    <t>Call hotel reception and request the F&amp;B/purchasing contact; reservations email is only a routing fallback.</t>
  </si>
  <si>
    <t>F&amp;B manager / executive chef / procurement</t>
  </si>
  <si>
    <t>39-1-63, MG Road, Vijayawada, Andhra Pradesh 520010</t>
  </si>
  <si>
    <t>https://www.vivantahotels.com/en-in/hotels/vivanta-vijayawada</t>
  </si>
  <si>
    <t>INFERRED: F&amp;B garnish and breakfast/dessert pilot after identifying relevant outlet menus.</t>
  </si>
  <si>
    <t>Official hotel site confirms dining facilities. Dehydrated-fruit uses and volumes are not disclosed.</t>
  </si>
  <si>
    <t>Published email is reservations, not a purchasing address. Former Gateway branding should not be counted as a separate lead.</t>
  </si>
  <si>
    <t>Vivanta / Taj hotel group; property-level procurement contact required</t>
  </si>
  <si>
    <t>L026</t>
  </si>
  <si>
    <t>Forge Breu-Hous</t>
  </si>
  <si>
    <t>Microbrewery / cocktail bar</t>
  </si>
  <si>
    <t>3 Hyderabad</t>
  </si>
  <si>
    <t>Jubilee Hills</t>
  </si>
  <si>
    <t>Orange wheels; lemon wheels; lime wheels; pineapple slices (trial)</t>
  </si>
  <si>
    <t>forge45marketing@gmail.com</t>
  </si>
  <si>
    <t>+91 91548 99915</t>
  </si>
  <si>
    <t>Call official number or email marketing to request bar/purchasing manager, then offer citrus samples.</t>
  </si>
  <si>
    <t>Plot 775/I, Road Number 45, Masthan Nagar, CBI Colony, Jubilee Hills, Hyderabad, Telangana 500033</t>
  </si>
  <si>
    <t>Telangana</t>
  </si>
  <si>
    <t>https://forgebreuhous.com/</t>
  </si>
  <si>
    <t>Inferred: cocktail/mocktail garnish with repeatable piece counts.</t>
  </si>
  <si>
    <t>Current booking listing identifies craft brews and fusion cocktails with food, beverage and bar menus. Dried-fruit demand is inferred.</t>
  </si>
  <si>
    <t>Official contact page indexed by search publishes this marketing email and phone; Tripadvisor independently repeats both. Direct fetch returned a server error. Ask marketing to route to bar/purchasing manager; inbox delivery and buyer responsibility are untested.</t>
  </si>
  <si>
    <t>https://forgebreuhous.com/contact-us/
https://www.tripadvisor.in/Restaurant_Review-g297586-d23790771-Reviews-Forge_Breu_Hous-Hyderabad_Hyderabad_District_Telangana.html</t>
  </si>
  <si>
    <t>https://www.district.in/dining/hyderabad/forge-breu-hous-jubilee-hills</t>
  </si>
  <si>
    <t>L027</t>
  </si>
  <si>
    <t>Ironhill Roastery - Jubilee Hills</t>
  </si>
  <si>
    <t>Specialty cafe / roastery</t>
  </si>
  <si>
    <t>Orange wheels; lemon wheels; pineapple slices (trial)</t>
  </si>
  <si>
    <t>jubileehills@ironhill.in</t>
  </si>
  <si>
    <t>+91 79935 99555</t>
  </si>
  <si>
    <t>Call branch and offer a small orange/lemon garnish comparison sample.</t>
  </si>
  <si>
    <t>Cafe manager / beverage manager</t>
  </si>
  <si>
    <t>Plot 729, Road No. 36, Jubilee Hills, Hyderabad</t>
  </si>
  <si>
    <t>https://ironhillroastery.com/</t>
  </si>
  <si>
    <t>Inferred: iced drinks, specialty beverage garnish and occasional dessert decoration.</t>
  </si>
  <si>
    <t>Official site identifies the Jubilee Hills coffee roastery and links a food-and-drink menu. Suitability for dried citrus is inferred from the cafe format.</t>
  </si>
  <si>
    <t>Branch email and phone published on official site; page contains older launch copy, so confirm active buyer before samples.</t>
  </si>
  <si>
    <t>https://ironhillroastery.com/contact/</t>
  </si>
  <si>
    <t>Ironhill</t>
  </si>
  <si>
    <t>L028</t>
  </si>
  <si>
    <t>Karafa Coffee</t>
  </si>
  <si>
    <t>Specialty cafe / patisserie</t>
  </si>
  <si>
    <t>Orange wheels; lemon wheels; apple pieces (trial)</t>
  </si>
  <si>
    <t>hello@karafa.com</t>
  </si>
  <si>
    <t>+91 97698 06666</t>
  </si>
  <si>
    <t>Email with small citrus sample proposal; call to identify beverage or pastry decision-maker.</t>
  </si>
  <si>
    <t>Cafe owner / beverage manager / pastry chef</t>
  </si>
  <si>
    <t>Plot 1182, Cable Bridge Road, Jubilee Hills, Hyderabad, Telangana 500033</t>
  </si>
  <si>
    <t>https://karafa.com/</t>
  </si>
  <si>
    <t>Inferred: specialty beverage garnish and dessert-decoration trial.</t>
  </si>
  <si>
    <t>Official site presents drinks menus, French-style desserts and baked items. Dried citrus and fruit decorations are inferred opportunities.</t>
  </si>
  <si>
    <t>Brand contact covers Jubilee Hills and Banjara Hills; route one conversation to the correct buyer and confirm delivery branch.</t>
  </si>
  <si>
    <t>https://karafa.com/contact-us/</t>
  </si>
  <si>
    <t>https://karafa.com/menu/</t>
  </si>
  <si>
    <t>Karafa</t>
  </si>
  <si>
    <t>L029</t>
  </si>
  <si>
    <t>NAAD Coffee</t>
  </si>
  <si>
    <t>Specialty cafe / bakery / bistro</t>
  </si>
  <si>
    <t>Madhapur / Durgam Cheruvu Road</t>
  </si>
  <si>
    <t>Orange wheels; lemon wheels; apple pieces; pineapple slices (trial)</t>
  </si>
  <si>
    <t>hello@naadcoffee.in</t>
  </si>
  <si>
    <t>Email requesting beverage/pastry buyer and offer a citrus/fruit sample discussion.</t>
  </si>
  <si>
    <t>Beverage lead / pastry chef / procurement</t>
  </si>
  <si>
    <t>Ground and First Floor, R Quad, before NCC Building, Durgam Cheruvu Road, Hyderabad, Telangana 500081</t>
  </si>
  <si>
    <t>https://naadcoffee.in/</t>
  </si>
  <si>
    <t>Inferred: fruit-coffee garnish and chef-approved bakery decoration; do not imply dried fruit replaces recipe juice or fresh fruit.</t>
  </si>
  <si>
    <t>Official menu describes fruit-juice coffee sangria, a strawberry-tonic coffee drink, apple turnover and lemon-blueberry cake. Dried garnish/inclusions are proposed adaptations.</t>
  </si>
  <si>
    <t>General contact email found; phone not found on official pages or indexed-site search. Official site links supply-chain partnerships, but no fruit purchasing requirement is stated.</t>
  </si>
  <si>
    <t>https://naadcoffee.in/pages/connect-with-us</t>
  </si>
  <si>
    <t>L030</t>
  </si>
  <si>
    <t>Olive Bistro &amp; Bar - Hyderabad</t>
  </si>
  <si>
    <t>Bistro / cocktail bar</t>
  </si>
  <si>
    <t>Jubilee Hills / Durgam Cheruvu</t>
  </si>
  <si>
    <t>+91 92489 12347</t>
  </si>
  <si>
    <t>Call official phone, confirm the supplier email and arrange bar-manager tasting.</t>
  </si>
  <si>
    <t>Durgam Cheruvu at Kona's, Road No. 46, Jubilee Hills, Hyderabad, Telangana 500033</t>
  </si>
  <si>
    <t>https://www.olivebarandkitchen.com/olivebistrohyd.php</t>
  </si>
  <si>
    <t>Inferred: cocktail and mocktail garnish with premium visual consistency.</t>
  </si>
  <si>
    <t>Official site explicitly describes handcrafted cocktails, bespoke beverages, coffee and a wine list; citrus garnish is a strong but unconfirmed fit.</t>
  </si>
  <si>
    <t>Official site publishes phone/address but no verified business email. A directory email used a suspiciously misspelled domain and was excluded. Ask whether The Hoppery shares procurement.</t>
  </si>
  <si>
    <t>Olive Group</t>
  </si>
  <si>
    <t>L031</t>
  </si>
  <si>
    <t>Prost Brew Pub - Hyderabad</t>
  </si>
  <si>
    <t>Orange wheels; lemon wheels; lime wheels</t>
  </si>
  <si>
    <t>info@prost.in</t>
  </si>
  <si>
    <t>+91 91009 21161</t>
  </si>
  <si>
    <t>Call the branch contact to verify bar manager; use info email for routing.</t>
  </si>
  <si>
    <t>Bar manager / purchase manager</t>
  </si>
  <si>
    <t>Plot 1026, Road Number 45, beside Quadro Living, Jubilee Hills, Hyderabad, Telangana 500033</t>
  </si>
  <si>
    <t>https://www.prost.in/hyderabad.html</t>
  </si>
  <si>
    <t>Inferred: cocktails and mocktails at the bar; qualify garnish needs separately from beer production.</t>
  </si>
  <si>
    <t>Official Hyderabad site presents a brewpub with bar and eatery menus; garnish needs require a buyer conversation.</t>
  </si>
  <si>
    <t>Official Hyderabad contact page used. Other official locations pages show different numbers (+91 73762 99999 / +91 95159 96350); confirm current contact before visiting.</t>
  </si>
  <si>
    <t>https://www.prost.in/hyderabad-contact.html</t>
  </si>
  <si>
    <t>Prost</t>
  </si>
  <si>
    <t>L032</t>
  </si>
  <si>
    <t>Roast CCx</t>
  </si>
  <si>
    <t>Banjara Hills</t>
  </si>
  <si>
    <t>Orange slices; lemon wheels; apple pieces; mango strips (trial)</t>
  </si>
  <si>
    <t>+91 91333 01861</t>
  </si>
  <si>
    <t>Call CCx and ask for pastry procurement or beverage manager; request an approved supplier email.</t>
  </si>
  <si>
    <t>Executive pastry chef / procurement manager</t>
  </si>
  <si>
    <t>GAR LAXMI, BNR Colony, Venkat Nagar, Banjara Hills, Hyderabad, Telangana 500034</t>
  </si>
  <si>
    <t>https://www.roastcafe.in/</t>
  </si>
  <si>
    <t>Inferred: beverage garnish, plated pastry decoration or limited fruit inclusions.</t>
  </si>
  <si>
    <t>Official site describes specialty coffee, pastries, catering and an in-house pastry operation. Potential dried-fruit uses need chef qualification.</t>
  </si>
  <si>
    <t>Official cafe and coffee-commerce sites provide forms rather than a general procurement email. Recruitment-only addresses were excluded. Contact form: https://www.roastcafe.in/pages/contact.</t>
  </si>
  <si>
    <t>https://www.roastcafe.in/locations
https://www.roastcafe.in/pages/contact</t>
  </si>
  <si>
    <t>https://www.roastcafe.in/pages/about</t>
  </si>
  <si>
    <t>Roast</t>
  </si>
  <si>
    <t>L033</t>
  </si>
  <si>
    <t>Roastery Coffee House - Hyderabad</t>
  </si>
  <si>
    <t>Specialty cafe</t>
  </si>
  <si>
    <t>Orange wheels; lemon wheels; apple pieces (small trial)</t>
  </si>
  <si>
    <t>support@roasterycoffee.co.in</t>
  </si>
  <si>
    <t>+91 95052 63320; +91 72078 79056</t>
  </si>
  <si>
    <t>Call and request the Hyderabad cafe manager or beverage lead; ask for sample-delivery address.</t>
  </si>
  <si>
    <t>Cafe manager / beverage lead</t>
  </si>
  <si>
    <t>418, 8-2, 287/12, Road Number 14, BNR Colony, Venkat Nagar, Banjara Hills, Hyderabad 500034 (published mailing address)</t>
  </si>
  <si>
    <t>https://roasterycoffee.co.in/</t>
  </si>
  <si>
    <t>Inferred: cold-coffee or iced-drink presentation; test apple as a bakery or snack inclusion only after buyer feedback.</t>
  </si>
  <si>
    <t>Official Hyderabad page confirms a specialty-coffee cafe in Banjara Hills; dried citrus would be a new garnish test, not evidence of current demand.</t>
  </si>
  <si>
    <t>Support contact is not a confirmed procurement inbox. Address is labeled mailing address on the site; confirm sample-delivery location first.</t>
  </si>
  <si>
    <t>https://roasterycoffee.co.in/contact/</t>
  </si>
  <si>
    <t>https://roasterycoffee.co.in/hyderabad/</t>
  </si>
  <si>
    <t>Roastery Coffee House</t>
  </si>
  <si>
    <t>L034</t>
  </si>
  <si>
    <t>Room Two - cocktail bar at Zero40</t>
  </si>
  <si>
    <t>Cocktail bar</t>
  </si>
  <si>
    <t>roomtwosocial@gmail.com</t>
  </si>
  <si>
    <t>+91 73370 74442; +91 73308 40040</t>
  </si>
  <si>
    <t>Call to confirm operation and the bar manager; coordinate with the Zero40 outreach.</t>
  </si>
  <si>
    <t>Head bartender / bar manager</t>
  </si>
  <si>
    <t>2nd Floor, Zero40 Brewing, Road Number 10, Jubilee Hills, Hyderabad</t>
  </si>
  <si>
    <t>https://grubnet.wixsite.com/roomtwo</t>
  </si>
  <si>
    <t>Inferred: premium cocktail garnish with consistent diameter, color and piece count.</t>
  </si>
  <si>
    <t>Venue site describes a craft-cocktail focus and shows cocktails including an Old Fashioned and a martini. Dried-garnish use is an inference, not an observed purchase.</t>
  </si>
  <si>
    <t>Venue contact; shares location and one number with Zero40. Treat as a second concept within the same buying group, not an independent customer. Confirm current operation before dispatching samples.</t>
  </si>
  <si>
    <t>https://grubnet.wixsite.com/roomtwo
https://www.zero40.com/contactless-menu?menu=jubilee-hills</t>
  </si>
  <si>
    <t>Zero40 / Room Two</t>
  </si>
  <si>
    <t>L035</t>
  </si>
  <si>
    <t>Thrivesome Cafe Co</t>
  </si>
  <si>
    <t>Independent cafe / smoothie bowls</t>
  </si>
  <si>
    <t>Nallagandla</t>
  </si>
  <si>
    <t>Mango strips; banana pieces; apple pieces; orange wheels (beverage trial)</t>
  </si>
  <si>
    <t>hello@thrivesome.in</t>
  </si>
  <si>
    <t>+91 92815 80080</t>
  </si>
  <si>
    <t>Call owner/cafe manager to discuss a small bowl-topping tasting plus citrus garnish sample.</t>
  </si>
  <si>
    <t>Owner / cafe manager / kitchen lead</t>
  </si>
  <si>
    <t>Ground Floor, MK Plaza, Nallagandla, Hyderabad</t>
  </si>
  <si>
    <t>https://thrivesome.in/</t>
  </si>
  <si>
    <t>Inferred: smoothie-bowl or breakfast toppings; use unsweetened dried pieces with buyer-approved chew/crispness.</t>
  </si>
  <si>
    <t>Official search-indexed site describes specialty coffee, smoothie bowls and all-day breakfasts; bowl toppings provide a plausible small-batch test.</t>
  </si>
  <si>
    <t>Contact and offering captured from the search-indexed official page; direct page extraction returned no text. Confirm branch and menu by phone.</t>
  </si>
  <si>
    <t>L036</t>
  </si>
  <si>
    <t>Trends Coffee Roasters - Madhapur</t>
  </si>
  <si>
    <t>Madhapur</t>
  </si>
  <si>
    <t>hello@trendscoffee.in</t>
  </si>
  <si>
    <t>+91 96187 88515</t>
  </si>
  <si>
    <t>Email or call asking whether the beverage menu could use a citrus garnish trial.</t>
  </si>
  <si>
    <t>Owner / head barista</t>
  </si>
  <si>
    <t>Uma Enclave Post Office Building, 301 Megha Hills, Madhapur, Hyderabad, Telangana 500081</t>
  </si>
  <si>
    <t>https://www.trendscoffee.com/</t>
  </si>
  <si>
    <t>Inferred: pilot garnish for suitable iced coffee or tonic drinks, subject to menu confirmation.</t>
  </si>
  <si>
    <t>Official site confirms a cafe tasting bar and roastery menu. Dried-fruit fit is exploratory because a fruit-drink menu was not verified.</t>
  </si>
  <si>
    <t>General business contact on official site. Qualify beverage menu and likely weekly usage before making a sample run.</t>
  </si>
  <si>
    <t>https://www.trendscoffee.com/visit</t>
  </si>
  <si>
    <t>Trends Coffee Roasters</t>
  </si>
  <si>
    <t>L037</t>
  </si>
  <si>
    <t>Zero40 Brewing - Jubilee Hills</t>
  </si>
  <si>
    <t>strategy@zero40.com</t>
  </si>
  <si>
    <t>+91 73308 40040; +91 91825 28150</t>
  </si>
  <si>
    <t>Call Jubilee Hills to confirm bar buyer and email, then offer a citrus sample kit.</t>
  </si>
  <si>
    <t>Road No. 10, Jubilee Hills, Hyderabad, Telangana</t>
  </si>
  <si>
    <t>https://www.zero40.com/</t>
  </si>
  <si>
    <t>Inferred: cocktail/mocktail garnish; offer per-piece packs to the bar team.</t>
  </si>
  <si>
    <t>Official Jubilee Hills menu lists an Old Fashioned, martini, sangria and an orange-and-ginger beer cocktail. These support a citrus-garnish trial; dehydrated-fruit use or purchasing is not verified.</t>
  </si>
  <si>
    <t>Visible email and Jubilee Hills numbers are repeated on the official menu page; some mail links still point to template placeholders. Confirm email by phone. Room Two is linked from this official site and shares the venue; purchasing responsibility must be confirmed.</t>
  </si>
  <si>
    <t>https://www.zero40.com/contactless-menu?menu=jubilee-hills
https://www.zero40.com/</t>
  </si>
  <si>
    <t>https://www.zero40.com/contactless-menu?menu=jubilee-hills</t>
  </si>
  <si>
    <t>L038</t>
  </si>
  <si>
    <t>Autumn Leaf Cafe</t>
  </si>
  <si>
    <t>Independent cafe</t>
  </si>
  <si>
    <t>Lemon wheels; orange wheels; apple pieces (trial)</t>
  </si>
  <si>
    <t>autumnleafcafe@gmail.com</t>
  </si>
  <si>
    <t>+91 73309 05551</t>
  </si>
  <si>
    <t>Phone first to confirm active cafe and preferred supplier contact.</t>
  </si>
  <si>
    <t>Plot 823, Road Number 41, CBI Colony, Jubilee Hills, Hyderabad, Telangana 500033</t>
  </si>
  <si>
    <t>Not publicly verified</t>
  </si>
  <si>
    <t>Inferred: iced-drink garnish; small snack or dessert test only after cafe feedback.</t>
  </si>
  <si>
    <t>Directory identifies a cafe serving meals and beverages. No specific current menu or dried-fruit demand has been verified.</t>
  </si>
  <si>
    <t>Business email and main phone appear in both Cybo and Tripadvisor for the same Jubilee Hills address. Directory-listed website could not be accessed during QA and is omitted. Confirm active operation and buyer by phone.</t>
  </si>
  <si>
    <t>https://www.cybo.com/IN-biz/autumn-leaf-cafe
https://www.tripadvisor.com/Restaurant_Review-g297586-d26788582-Reviews-Autumn_Leaf_Cafe-Hyderabad_Hyderabad_District_Telangana.html</t>
  </si>
  <si>
    <t>https://www.tripadvisor.com/Restaurant_Review-g297586-d26788582-Reviews-Autumn_Leaf_Cafe-Hyderabad_Hyderabad_District_Telangana.html</t>
  </si>
  <si>
    <t>L039</t>
  </si>
  <si>
    <t>Broadway The Brewery</t>
  </si>
  <si>
    <t>thewildbarrel@gmail.com</t>
  </si>
  <si>
    <t>+91 91333 16699</t>
  </si>
  <si>
    <t>Call to confirm business email and bar purchasing contact.</t>
  </si>
  <si>
    <t>Rina Mandal Road, CBI Colony, Jubilee Hills, Hyderabad, Telangana 500033</t>
  </si>
  <si>
    <t>https://www.facebook.com/broadwaythebrewery/</t>
  </si>
  <si>
    <t>Inferred: bar beverage garnish; qualify non-beer beverage volumes before quoting.</t>
  </si>
  <si>
    <t>Directories identify an operating brewery/bar; current dried-garnish use or a procurement requirement was not established.</t>
  </si>
  <si>
    <t>Email and phone also appear at https://urbango.co.in/listing/broadway-the-brewery/. Facebook URL is directory-listed. This is not the unrelated Broadway Live retail business.</t>
  </si>
  <si>
    <t>https://www.bharatibiz.com/en/broadway-the-brewery_1k-091333-16699
https://urbango.co.in/listing/broadway-the-brewery/</t>
  </si>
  <si>
    <t>https://www.tripadvisor.in/Restaurant_Review-g297586-d19068554-Reviews-Broadway_The_Brewery-Hyderabad_Hyderabad_District_Telangana.html</t>
  </si>
  <si>
    <t>L040</t>
  </si>
  <si>
    <t>Concu - Banjara Hills</t>
  </si>
  <si>
    <t>Patisserie / cafe</t>
  </si>
  <si>
    <t>Orange slices; apple pieces; mango strips (trial)</t>
  </si>
  <si>
    <t>concu.cakes@gmail.com</t>
  </si>
  <si>
    <t>+91 83411 20200</t>
  </si>
  <si>
    <t>Call branch and ask for central pastry/purchasing contact; avoid pitching every branch separately.</t>
  </si>
  <si>
    <t>Pastry chef / central procurement</t>
  </si>
  <si>
    <t>8-2-283/4, Road No. 14, Banjara Hills, Hyderabad, Telangana 500034</t>
  </si>
  <si>
    <t>https://www.concu.in/</t>
  </si>
  <si>
    <t>Inferred: dessert decoration and selected pastry inclusions; establish desired texture before production.</t>
  </si>
  <si>
    <t>Official branch page describes patisserie, viennoiseries and a dedicated beverage bar. Dried-fruit decoration/inclusions are candidate uses requiring chef approval.</t>
  </si>
  <si>
    <t>Email is from the claimed Tripadvisor listing. Phone and address also match the official branch page at https://www.concu.in/location/671616723. Confirm procurement email by phone; website has a contact form.</t>
  </si>
  <si>
    <t>https://www.tripadvisor.in/Restaurant_Review-g297586-d6216248-Reviews-Concu-Hyderabad_Hyderabad_District_Telangana.html
https://www.concu.in/location/671616723</t>
  </si>
  <si>
    <t>https://www.concu.in/location/671616723</t>
  </si>
  <si>
    <t>Concu</t>
  </si>
  <si>
    <t>L041</t>
  </si>
  <si>
    <t>The Glass Onion</t>
  </si>
  <si>
    <t>Restaurant / bar</t>
  </si>
  <si>
    <t>Gachibowli</t>
  </si>
  <si>
    <t>Orange wheels; lemon wheels; apple slices (trial)</t>
  </si>
  <si>
    <t>+91 91212 39551</t>
  </si>
  <si>
    <t>Call to identify bar manager and verify venue supplier channel.</t>
  </si>
  <si>
    <t>Bar manager / restaurant purchase manager</t>
  </si>
  <si>
    <t>Boulder Hills, Madhava Reddy Colony, opposite ISB, near Infosys, Gachibowli, Hyderabad, Telangana 500032</t>
  </si>
  <si>
    <t>Inferred: cocktail/sangria presentation and mocktail garnish; confirm desired use with bar lead.</t>
  </si>
  <si>
    <t>Booking/menu listing identifies beverages and red-wine sangria; dried citrus would be an inferred garnish option.</t>
  </si>
  <si>
    <t>Phone corroborated on Tripadvisor. The former domain listed by directories now serves unrelated gambling material and is excluded. Request the current official website and supplier email by phone.</t>
  </si>
  <si>
    <t>https://www.district.in/dining/hyderabad/the-glass-onion-gachibowli
https://www.tripadvisor.in/Restaurant_Review-g297586-d16673887-Reviews-The_Glass_Onion-Hyderabad_Hyderabad_District_Telangana.html</t>
  </si>
  <si>
    <t>https://www.zomato.com/hyderabad/the-glass-onion-gachibowli</t>
  </si>
  <si>
    <t>The Glass Onion (central purchasing not confirmed)</t>
  </si>
  <si>
    <t>L042</t>
  </si>
  <si>
    <t>True Black Speciality Coffee - Jubilee Hills</t>
  </si>
  <si>
    <t>hello@trueblack.coffee</t>
  </si>
  <si>
    <t>+91 80080 59494</t>
  </si>
  <si>
    <t>Email hello address requesting beverage procurement contact; verify branch number if visiting.</t>
  </si>
  <si>
    <t>Beverage lead / central purchasing</t>
  </si>
  <si>
    <t>Plot 1069/A, Road No. 45, Nandagiri Hills, Jubilee Hills, Hyderabad, Telangana 500033</t>
  </si>
  <si>
    <t>https://www.trueblack.coffee/</t>
  </si>
  <si>
    <t>Inferred: specialty iced-drink garnish; chef-approved bakery inclusion trial.</t>
  </si>
  <si>
    <t>Official site confirms specialty coffee and a Jubilee Hills branch. Citrus garnishes are a proposed beverage trial, not verified existing demand.</t>
  </si>
  <si>
    <t>Email is official at https://www.trueblack.coffee/; branch phone/address are from Zomato. Use central email for routing and verify branch phone before outreach.</t>
  </si>
  <si>
    <t>https://www.zomato.com/hyderabad/true-black-speciality-coffee-jubilee-hills
https://www.trueblack.coffee/</t>
  </si>
  <si>
    <t>True Black Speciality Coffee</t>
  </si>
  <si>
    <t>L043</t>
  </si>
  <si>
    <t>Cask &amp; Barrel</t>
  </si>
  <si>
    <t>Restobar</t>
  </si>
  <si>
    <t>4 South India expansion</t>
  </si>
  <si>
    <t>Chennai</t>
  </si>
  <si>
    <t>Padur / Kazhipathur, OMR</t>
  </si>
  <si>
    <t>Orange; lemon/lime; pineapple (optional trial)</t>
  </si>
  <si>
    <t>info@casknbarrel.com</t>
  </si>
  <si>
    <t>+91 93456 15175</t>
  </si>
  <si>
    <t>Call restaurant to ask for bar manager; email sample specification after establishing fit.</t>
  </si>
  <si>
    <t>Bar manager / restaurant manager</t>
  </si>
  <si>
    <t>36/36A Rajiv Gandhi Salai (OMR), Padur, Kazhipathur, Chennai, Tamil Nadu 603103</t>
  </si>
  <si>
    <t>Tamil Nadu</t>
  </si>
  <si>
    <t>https://casknbarrel.com/</t>
  </si>
  <si>
    <t>Proposed citrus cocktail garnish, with pineapple only for confirmed tropical drinks.</t>
  </si>
  <si>
    <t>Official site describes handcrafted cocktails and a beverage program. Fruit choices below are proposed garnish fits, not observed purchasing demand.</t>
  </si>
  <si>
    <t>General business email and phone. Confirm restaurant purchasing authority and whether garnishes are currently made in-house.</t>
  </si>
  <si>
    <t>https://casknbarrel.com/about-us/</t>
  </si>
  <si>
    <t>L044</t>
  </si>
  <si>
    <t>Fresh Choice Patisserie Bakery &amp; Cafe - Siripuram</t>
  </si>
  <si>
    <t>Bakery and cafe</t>
  </si>
  <si>
    <t>Visakhapatnam</t>
  </si>
  <si>
    <t>Siripuram</t>
  </si>
  <si>
    <t>Orange; pineapple; mango (trial only)</t>
  </si>
  <si>
    <t>info@freshchoice.in</t>
  </si>
  <si>
    <t>+91 91000 54869</t>
  </si>
  <si>
    <t>Call store and request the pastry chef or procurement contact; then email a sample specification.</t>
  </si>
  <si>
    <t>Pastry chef / cafe manager / procurement</t>
  </si>
  <si>
    <t>10-50-22/1 Waltair Main Road, beside Raymonds Showroom, Siripuram Junction, Visakhapatnam, Andhra Pradesh 530003</t>
  </si>
  <si>
    <t>https://freshchoice.in/</t>
  </si>
  <si>
    <t>Proposed beverage garnish and pastry decoration; mango pieces only after a chef-approved texture trial.</t>
  </si>
  <si>
    <t>Official site lists pastries, desserts, beverages, healthy snacks and Mango Chilli Soda. This supports a bakery/cafe fit, not confirmed dried-fruit purchasing.</t>
  </si>
  <si>
    <t>Email is a general company inbox; phone is the Siripuram store number. Website also lists company contact +91 87120 12415. Ask which team approves ingredients across branches.</t>
  </si>
  <si>
    <t>Fresh Choice</t>
  </si>
  <si>
    <t>L045</t>
  </si>
  <si>
    <t>Lush - Renaissance Bengaluru Race Course Hotel</t>
  </si>
  <si>
    <t>Hotel restaurant and bar</t>
  </si>
  <si>
    <t>Bengaluru</t>
  </si>
  <si>
    <t>Race Course Road</t>
  </si>
  <si>
    <t>Orange first; lemon/lime as a separate trial</t>
  </si>
  <si>
    <t>Stephen.George@marriott.com</t>
  </si>
  <si>
    <t>+91 95139 44520</t>
  </si>
  <si>
    <t>Email the published restaurant contact asking to be directed to bar and procurement teams.</t>
  </si>
  <si>
    <t>Bar manager / F&amp;B manager / hotel procurement</t>
  </si>
  <si>
    <t>Renaissance Hotel, 17/1 Madhavanagar Extension, Race Course Road, Bengaluru, Karnataka</t>
  </si>
  <si>
    <t>Karnataka</t>
  </si>
  <si>
    <t>https://www.lushbengaluru.com/</t>
  </si>
  <si>
    <t>Orange-wheel supply trial for existing dehydrated-orange cocktail; additional citrus garnish only if approved by bar team.</t>
  </si>
  <si>
    <t>Explicit dehydrated fruit menu</t>
  </si>
  <si>
    <t>Official menu explicitly includes dehydrated orange in the Highlander cocktail. This is direct menu-use evidence; order volume and external supplier demand are unknown.</t>
  </si>
  <si>
    <t>Email belongs to an individual publicly listed as the hotel restaurant business contact; it is not identified as a procurement inbox and the current role is not stated. Ask for the bar and procurement teams. Hotel supplier approval may be required; pursue after local repeat orders.</t>
  </si>
  <si>
    <t>https://www.lushbengaluru.com/our-menus</t>
  </si>
  <si>
    <t>Renaissance Bengaluru Race Course Hotel</t>
  </si>
  <si>
    <t>L046</t>
  </si>
  <si>
    <t>Mirth</t>
  </si>
  <si>
    <t>Indiranagar</t>
  </si>
  <si>
    <t>Orange; lemon/lime; pineapple</t>
  </si>
  <si>
    <t>mirthindiranagar@gmail.com</t>
  </si>
  <si>
    <t>+91 72045 49001</t>
  </si>
  <si>
    <t>Call outside evening service and request the bar manager's supplier submission process.</t>
  </si>
  <si>
    <t>Bar manager / head bartender</t>
  </si>
  <si>
    <t>2nd floor, Ashok Terrace, 303, 100 Feet Road, Indiranagar 1st Stage, Bengaluru, Karnataka 560038</t>
  </si>
  <si>
    <t>https://www.mirthblr.com/</t>
  </si>
  <si>
    <t>Proposed cocktail garnish trials matched to citrus and tropical drinks; not a replacement for fresh juice or clarified ingredients.</t>
  </si>
  <si>
    <t>Official site lists lime in Picante Zaai, pineapple and citrus in Clear Intentions, and mango tea in Mango Manifesto. These are flavor cues; dehydrated garnishes are not explicitly specified.</t>
  </si>
  <si>
    <t>Contacts and menu were visible in the official-domain search index; direct page retrieval timed out. Confirm current menu and purchasing contact by phone.</t>
  </si>
  <si>
    <t>L047</t>
  </si>
  <si>
    <t>Pandhal Cafe &amp; Deli - David Hall</t>
  </si>
  <si>
    <t>Cafe and deli</t>
  </si>
  <si>
    <t>Kochi</t>
  </si>
  <si>
    <t>Fort Kochi</t>
  </si>
  <si>
    <t>Apple; mango; pineapple (chef-approved topping trials)</t>
  </si>
  <si>
    <t>cafedavidhall@pandhal.co.in</t>
  </si>
  <si>
    <t>+91 92880 01961</t>
  </si>
  <si>
    <t>Email cafe manager and ask to connect with the chef or central ingredient buyer.</t>
  </si>
  <si>
    <t>Chef / cafe manager / central procurement</t>
  </si>
  <si>
    <t>1/748 David Hall Art Cafe, Napier Street, opposite Parade Ground, Fort Kochi, Ernakulam, Kerala 682001</t>
  </si>
  <si>
    <t>Kerala</t>
  </si>
  <si>
    <t>https://www.pandhal.in/</t>
  </si>
  <si>
    <t>Proposed granola/bowl inclusions or dessert decoration, subject to texture and ingredient approval.</t>
  </si>
  <si>
    <t>Official cafe menu includes a Power Bowl with granola, coconut yogurt and fresh fruit, plus desserts. Dried fruit would be a proposed topping addition; fresh fruit use does not prove a dried-fruit requirement.</t>
  </si>
  <si>
    <t>Branch-specific email and phone from the official store locator. Official address is used even though directories list another building number. Confirm whether purchasing is centralized.</t>
  </si>
  <si>
    <t>https://www.pandhal.in/store-locator/kochi</t>
  </si>
  <si>
    <t>https://www.pandhal.in/cafe-deli</t>
  </si>
  <si>
    <t>Pandhal Global Gourmet Private Limited</t>
  </si>
  <si>
    <t>L048</t>
  </si>
  <si>
    <t>Pepper House Cafe</t>
  </si>
  <si>
    <t>Cafe and art space</t>
  </si>
  <si>
    <t>Orange; lemon (only after beverage-menu confirmation)</t>
  </si>
  <si>
    <t>phd@pepperhouse.in</t>
  </si>
  <si>
    <t>+91 484 221 5667</t>
  </si>
  <si>
    <t>Email published cafe contact to confirm current menu, purchasing contact and phone.</t>
  </si>
  <si>
    <t>Cafe manager / chef</t>
  </si>
  <si>
    <t>11/10 A&amp;B Calvathy Road, near Hotel Seagull, Fort Kochi, Kochi, Kerala 682001</t>
  </si>
  <si>
    <t>https://pepperhouse.in/</t>
  </si>
  <si>
    <t>Proposed citrus garnish for cafe drinks or event service if suitable drinks are offered.</t>
  </si>
  <si>
    <t>Official site confirms a cafe with art/design space. Current drinks menu was not verified; fruit requirements are speculative and need qualification.</t>
  </si>
  <si>
    <t>Email and street address are official. Phone comes from an ArrivalGuides Cochin destination guide and must be rechecked. Email is the stronger route.</t>
  </si>
  <si>
    <t>https://pepperhouse.in/
https://assets-us-01.kc-usercontent.com/bb7ec940-c332-0010-dbb1-658c3c6cdf68/9b50bc3b-82c3-4d0d-add2-88a231fc7dca/Destination%20Guide%20Cochin%20-%20AG.pdf</t>
  </si>
  <si>
    <t>Pepper House</t>
  </si>
  <si>
    <t>L049</t>
  </si>
  <si>
    <t>Secret Story Chennai</t>
  </si>
  <si>
    <t>Khader Nawaz Khan Road</t>
  </si>
  <si>
    <t>Orange; lemon/lime</t>
  </si>
  <si>
    <t>hello@secretstorychennai.in</t>
  </si>
  <si>
    <t>+91 99629 96456</t>
  </si>
  <si>
    <t>Call or email general business contact and request the bar manager.</t>
  </si>
  <si>
    <t>Bar manager / owner-operator</t>
  </si>
  <si>
    <t>23/13 Khader Nawaz Khan Road, Chennai, Tamil Nadu 600006</t>
  </si>
  <si>
    <t>https://secretstorychennai.in/</t>
  </si>
  <si>
    <t>Proposed ready-to-use citrus cocktail garnish; qualify their current garnish process first.</t>
  </si>
  <si>
    <t>Official site advertises craft cocktails using fresh local ingredients. No dehydrated fruit or individual cocktail requirements are confirmed.</t>
  </si>
  <si>
    <t>Official-domain search result publishes contact and business address; direct retrieval returned an error. Confirm current trading and buyer identity before samples.</t>
  </si>
  <si>
    <t>Maison Restaurants Private Limited - Secret Story Chennai</t>
  </si>
  <si>
    <t>L050</t>
  </si>
  <si>
    <t>Sundays Chennai</t>
  </si>
  <si>
    <t>Anna Nagar East</t>
  </si>
  <si>
    <t>Orange; lemon; lime (plain wheels only if requested)</t>
  </si>
  <si>
    <t>managersundays@fb-venture.com</t>
  </si>
  <si>
    <t>+91 78239 59677</t>
  </si>
  <si>
    <t>Email manager with citrus sample specifications and request a short bar-manager tasting.</t>
  </si>
  <si>
    <t>101, 6th Street, D Block, Anna Nagar East, Chennai, Tamil Nadu 600102</t>
  </si>
  <si>
    <t>https://sundayschennai.in/</t>
  </si>
  <si>
    <t>Proposed garnish trials for spritzes, whisky drinks and zero-alcohol drinks; confirm suitability with the bar team.</t>
  </si>
  <si>
    <t>Official site describes craft cocktails, zero-alcohol options, spritzes and Old Fashioneds, plus a conceptual menu using fermented black lime. Black lime is distinct from plain dehydrated lime wheels.</t>
  </si>
  <si>
    <t>Manager inbox and restaurant phone are published together. Do not claim the venue already buys ordinary dehydrated citrus because it mentions fermented black lime.</t>
  </si>
  <si>
    <t>https://sundayschennai.in/index.html</t>
  </si>
  <si>
    <t>25 nearby prospects to start with</t>
  </si>
  <si>
    <t>Six prospects in the Poranki / Kanuru / Tadigadapa belt, followed by Vijayawada. Call to qualify the buyer and arrange a visit; check directory contacts before traveling.</t>
  </si>
  <si>
    <t>Business</t>
  </si>
  <si>
    <t>Area</t>
  </si>
  <si>
    <t>Suggested fruits</t>
  </si>
  <si>
    <t>Phone</t>
  </si>
  <si>
    <t>Email</t>
  </si>
  <si>
    <t>Contact quality</t>
  </si>
  <si>
    <t>Read before contact</t>
  </si>
  <si>
    <t>Fruit trial priorities</t>
  </si>
  <si>
    <t>Order for buyer trials, not measured market demand. Keep lemon and lime specifications separate. Dried garnish does not replace fresh juice or puree.</t>
  </si>
  <si>
    <t>Trial rank</t>
  </si>
  <si>
    <t>Fruit</t>
  </si>
  <si>
    <t>Launch role</t>
  </si>
  <si>
    <t>Best fit</t>
  </si>
  <si>
    <t>Reasoning / limits</t>
  </si>
  <si>
    <t>Ask the buyer</t>
  </si>
  <si>
    <t>Source IDs</t>
  </si>
  <si>
    <t>Orange</t>
  </si>
  <si>
    <t>Core first sample</t>
  </si>
  <si>
    <t>Cocktail bars, restobars and beverage-focused cafes</t>
  </si>
  <si>
    <t>A regional hotel restaurant explicitly lists dehydrated orange in a cocktail, providing a concrete existing format to demonstrate. Broader fit to citrus drinks is an inference that must be tested venue by venue.</t>
  </si>
  <si>
    <t>Which drinks could use an orange wheel? What diameter, color, peel bitterness, pack size and cost per usable wheel do you accept? Do you currently buy or dry it yourself?</t>
  </si>
  <si>
    <t>D1, D2</t>
  </si>
  <si>
    <t>Lemon; lime as a separately specified variant</t>
  </si>
  <si>
    <t>Second core sample</t>
  </si>
  <si>
    <t>Iced-tea and mocktail cafes; bars serving citrus drinks</t>
  </si>
  <si>
    <t>Primary menus show citrus, lemon and lime drink ingredients. This supports a garnish trial but does not prove a need for dried wheels. Fermented black lime is a different product and should not be substituted with ordinary dried lime.</t>
  </si>
  <si>
    <t>Do you want lemon or lime, which local variety and wheel size, and is the garnish decorative or expected to add flavor? Test appearance and bitterness in the actual drink.</t>
  </si>
  <si>
    <t>D2, D3</t>
  </si>
  <si>
    <t>Pineapple</t>
  </si>
  <si>
    <t>Second-stage sample after confirmed tropical-drink fit</t>
  </si>
  <si>
    <t>Tropical cocktail/mocktail cafes and selected dessert kitchens</t>
  </si>
  <si>
    <t>Primary bar menus include pineapple, so a dried pineapple garnish can be proposed. Fresh pineapple, juice and clarified pineapple are distinct ingredients; those menu mentions alone do not establish dried-pineapple demand.</t>
  </si>
  <si>
    <t>Would you prefer a thin decorative piece or a chewy edible piece? How many relevant drinks are sold weekly? Test breakage and texture in their serving format.</t>
  </si>
  <si>
    <t>D2</t>
  </si>
  <si>
    <t>Apple</t>
  </si>
  <si>
    <t>Targeted breakfast-bowl / bakery experiment</t>
  </si>
  <si>
    <t>Granola, breakfast-bowl and bakery operators</t>
  </si>
  <si>
    <t>A primary cafe menu demonstrates a granola-and-yogurt use case, but no verified apple-drying purchase demand was found. Dried apple is a proposed addition rather than a substitution automatically implied by fresh-fruit menus.</t>
  </si>
  <si>
    <t>Does the kitchen want slices, small dice or a snack? Confirm desired chew/crunch and color; trial any pretreatment and declare ingredients accurately.</t>
  </si>
  <si>
    <t>D4, Q4</t>
  </si>
  <si>
    <t>Mango</t>
  </si>
  <si>
    <t>Preorder-led seasonal snack / topping experiment</t>
  </si>
  <si>
    <t>Selected bakeries, bowl cafes and packaged-snack buyers</t>
  </si>
  <si>
    <t>Primary menus feature mango-flavored drinks and a cafe offers healthy-snack categories. This is evidence of flavor familiarity, not proof that dehydrated mango will fit those recipes. Validate a distinct strip/dice product with a buyer first.</t>
  </si>
  <si>
    <t>Do you need an unsweetened snack strip, diced inclusion or garnish? Is the accepted texture chewy or crisp? Confirm acceptance of color variation and the exact ingredient specification.</t>
  </si>
  <si>
    <t>D2, D5</t>
  </si>
  <si>
    <t>What to offer each buyer type</t>
  </si>
  <si>
    <t>Qualify a specific drink or recipe and collect a paid trial outcome before interpreting a lead as demand.</t>
  </si>
  <si>
    <t>Suggested first offer</t>
  </si>
  <si>
    <t>Decision maker</t>
  </si>
  <si>
    <t>Evidence to collect</t>
  </si>
  <si>
    <t>Cocktail bars / restobars</t>
  </si>
  <si>
    <t>Orange, then lemon/lime; pineapple where tropical drinks exist</t>
  </si>
  <si>
    <t>Current garnish process, acceptable cost per usable piece, relevant drink sales, in-house drying cost, sample acceptance and paid reorder.</t>
  </si>
  <si>
    <t>Mocktail / iced-tea / beverage-focused cafes</t>
  </si>
  <si>
    <t>Lemon and orange; pineapple for an approved tropical drink</t>
  </si>
  <si>
    <t>Owner / beverage lead / cafe manager</t>
  </si>
  <si>
    <t>Which exact drink will use the garnish, willingness to pay for it, presentation benefit and repeat weekly use.</t>
  </si>
  <si>
    <t>Bakeries and patisseries</t>
  </si>
  <si>
    <t>Orange decoration; small apple, pineapple or mango inclusion trials</t>
  </si>
  <si>
    <t>Pastry chef / owner / ingredient buyer</t>
  </si>
  <si>
    <t>Approved recipe trial, moisture/texture specification, ingredient declaration and purchase quantity.</t>
  </si>
  <si>
    <t>Breakfast-bowl / granola / snack cafes</t>
  </si>
  <si>
    <t>Apple or mango samples matched to the actual menu</t>
  </si>
  <si>
    <t>Chef / owner</t>
  </si>
  <si>
    <t>Whether a dried topping is wanted at all, acceptable chew/crunch, serving size and paid reorder.</t>
  </si>
  <si>
    <t>Basic bars with limited cocktail service</t>
  </si>
  <si>
    <t>Qualify before producing samples</t>
  </si>
  <si>
    <t>Owner / bar manager</t>
  </si>
  <si>
    <t>Existence of a cocktail or mocktail menu and a buyer willing to pay for presentation garnishes. Alcohol service alone does not imply dried-fruit demand.</t>
  </si>
  <si>
    <t>Outreach email drafts</t>
  </si>
  <si>
    <t>Use the relevant segment draft and personalize only with verified menu information. Do not claim certifications, stock, shelf life or customer results that you have not established.</t>
  </si>
  <si>
    <t>Use case</t>
  </si>
  <si>
    <t>Subject</t>
  </si>
  <si>
    <t>Email body</t>
  </si>
  <si>
    <t>Status</t>
  </si>
  <si>
    <t>Local cafe introduction</t>
  </si>
  <si>
    <t>Citrus garnish sample for [Cafe name] in [Area]</t>
  </si>
  <si>
    <t>Hi [Name or Cafe team],
I'm [Your name], based in Poranki, and I'm setting up a small dehydrated-fruit supply business for local cafés.
I'd like to test orange and lemon wheels with your beverage team for a suitable iced tea or mocktail. We can agree the slice size, appearance and pack quantity after you try them in an actual drink.
Would the owner or beverage manager be open to a short sample visit next week? Please let me know the right person and a convenient time.
Thanks,
[Your name]
[Business name, if established]
[Business phone]
Poranki, Vijayawada</t>
  </si>
  <si>
    <t>DRAFT - replace placeholders; not sent</t>
  </si>
  <si>
    <t>Cocktail bar introduction</t>
  </si>
  <si>
    <t>Orange and lemon garnish trial for [Bar name]</t>
  </si>
  <si>
    <t>Hi [Name or Bar team],
I'm [Your name] from Poranki. I'm developing dried orange and lemon wheels for bar garnish and would like your bartender's feedback on a small trial.
Could you tell me whether you currently buy dried garnish or make it in-house? If there is a fit, I'd like to test the diameter, aroma, bitterness and usable piece count your team needs. Pineapple could be a later sample if it suits a drink on your menu.
Who handles garnish purchasing, and would they be available for a brief tasting?
Regards,
[Your name]
[Business name]
[Business phone]</t>
  </si>
  <si>
    <t>Bakery or breakfast cafe introduction</t>
  </si>
  <si>
    <t>Dried-fruit ingredient trial with [Business name]</t>
  </si>
  <si>
    <t>Hi [Name or Kitchen team],
I'm [Your name], setting up a small dried-fruit business in Poranki. I'd like to understand whether your kitchen has a use for dried apple, pineapple or mango pieces in a specific dessert, breakfast bowl or snack.
Before making a sample, could your chef advise on the preferred fruit, piece size and texture? I would then propose a small recipe trial and quote for the approved specification.
May I speak with the chef or person responsible for ingredient buying?
Thank you,
[Your name]
[Business phone]</t>
  </si>
  <si>
    <t>Hotel supplier enquiry</t>
  </si>
  <si>
    <t>Dehydrated citrus garnish supplier enquiry for [Hotel name]</t>
  </si>
  <si>
    <t>Hello [F&amp;B or Purchasing team],
I'm [Your name], based in Poranki, and I'm preparing a local dehydrated-fruit offering for hospitality businesses.
I'd like to understand your supplier-onboarding process and whether your bar team would consider a small orange and lemon garnish evaluation. Please share the required product specification, food-business documentation, testing requirements and the appropriate buyer contact.
I can provide the applicable documents and a quotation when the trial specification and supply readiness are confirmed.
Regards,
[Your name]
[Business name]
[Business phone]</t>
  </si>
  <si>
    <t>Hyderabad or southern city introduction</t>
  </si>
  <si>
    <t>Citrus garnish evaluation for [Business name]</t>
  </si>
  <si>
    <t>Hi [Name or Team],
I'm [Your name], building a small dehydrated-fruit supply business near Vijayawada. Your [verified menu item or beverage offering] looks like a possible fit for an orange or lemon garnish trial.
Would your beverage buyer consider evaluating a small sample? Before dispatch, I would confirm the product specification, sample cost, delivery address and shipping arrangement with you.
If someone else handles this, could you point me to the right business contact?
Thanks,
[Your name]
[Business phone]</t>
  </si>
  <si>
    <t>Follow up after a sample</t>
  </si>
  <si>
    <t>Feedback on the [fruit] sample for [Business name]</t>
  </si>
  <si>
    <t>Hi [Name],
Thank you for trying the sample. Which drink or dish worked best, and would you change the size, texture or appearance?
If you'd like a paid trial, please confirm the fruit, usable piece count or net weight, delivery date and preferred pack size. I'll send a quotation with the agreed specification, delivery charges and payment terms.
If the product isn't useful for your menu, please let me know and I'll close the enquiry.
Regards,
[Your name]
[Business phone]</t>
  </si>
  <si>
    <t>Follow up when there is no response</t>
  </si>
  <si>
    <t>Re: [Original subject]</t>
  </si>
  <si>
    <t>Hi [Name or Team],
Following up once on my note about a small dried-citrus garnish trial. Is this relevant to your beverage team, or should I close the enquiry?
Thanks,
[Your name]</t>
  </si>
  <si>
    <t>Your outreach and validation tracker</t>
  </si>
  <si>
    <t>Fill after actual calls, visits or replies. Blank quantities mean unknown. Coordinate shared buying groups and respect requests to stop contact.</t>
  </si>
  <si>
    <t>Last contact date</t>
  </si>
  <si>
    <t>Buyer name / role</t>
  </si>
  <si>
    <t>Confirmed buyer email</t>
  </si>
  <si>
    <t>Current garnish method</t>
  </si>
  <si>
    <t>Approved fruit / specification</t>
  </si>
  <si>
    <t>Weekly use (pieces)</t>
  </si>
  <si>
    <t>Target price / piece INR</t>
  </si>
  <si>
    <t>Sample outcome</t>
  </si>
  <si>
    <t>Next follow-up date</t>
  </si>
  <si>
    <t>Permission / opt-out</t>
  </si>
  <si>
    <t>Notes</t>
  </si>
  <si>
    <t>Measure before quoting a price</t>
  </si>
  <si>
    <t>Blank yellow inputs require your actual batch data. Enter zero for genuinely nil costs. No sample prices, yields or profit promises are assumed. One product / batch at a time.</t>
  </si>
  <si>
    <t>Input / output</t>
  </si>
  <si>
    <t>Value</t>
  </si>
  <si>
    <t>Unit</t>
  </si>
  <si>
    <t>How to use</t>
  </si>
  <si>
    <t>Fresh fruit input</t>
  </si>
  <si>
    <t>kg</t>
  </si>
  <si>
    <t>Whole fruit purchased for this batch.</t>
  </si>
  <si>
    <t>Fresh fruit purchase price</t>
  </si>
  <si>
    <t>INR / kg</t>
  </si>
  <si>
    <t>Actual invoice price.</t>
  </si>
  <si>
    <t>Measured electricity used</t>
  </si>
  <si>
    <t>kWh</t>
  </si>
  <si>
    <t>Metered batch consumption, including standby if relevant.</t>
  </si>
  <si>
    <t>Electricity tariff</t>
  </si>
  <si>
    <t>INR / kWh</t>
  </si>
  <si>
    <t>Applicable actual rate.</t>
  </si>
  <si>
    <t>Labor time</t>
  </si>
  <si>
    <t>hours</t>
  </si>
  <si>
    <t>Prep, loading, drying checks, packing and cleaning.</t>
  </si>
  <si>
    <t>Labor cost</t>
  </si>
  <si>
    <t>INR / hour</t>
  </si>
  <si>
    <t>Include an allowance for your own work.</t>
  </si>
  <si>
    <t>Packaging cost</t>
  </si>
  <si>
    <t>INR / batch</t>
  </si>
  <si>
    <t>Bags, labels and other actual packaging.</t>
  </si>
  <si>
    <t>Delivery cost</t>
  </si>
  <si>
    <t>Allocate actual delivered-order cost.</t>
  </si>
  <si>
    <t>Testing and overhead allocation</t>
  </si>
  <si>
    <t>Allocate testing, machine depreciation, cleaning and other overhead.</t>
  </si>
  <si>
    <t>Usable dried output</t>
  </si>
  <si>
    <t>After removing rejected / damaged product.</t>
  </si>
  <si>
    <t>Saleable garnish pieces</t>
  </si>
  <si>
    <t>pieces</t>
  </si>
  <si>
    <t>Count usable pieces; enter zero only for a weight-sold product.</t>
  </si>
  <si>
    <t>Proposed selling price</t>
  </si>
  <si>
    <t>INR / piece</t>
  </si>
  <si>
    <t>For garnish sold by pieces. Enter zero if evaluating weight only.</t>
  </si>
  <si>
    <t>Total batch cost</t>
  </si>
  <si>
    <t>INR</t>
  </si>
  <si>
    <t>Enter all cost inputs, including zeros where appropriate.</t>
  </si>
  <si>
    <t>Usable dry yield</t>
  </si>
  <si>
    <t>%</t>
  </si>
  <si>
    <t>Measured usable dry output divided by wet purchased weight.</t>
  </si>
  <si>
    <t>Cost per kg of usable product</t>
  </si>
  <si>
    <t>Includes the listed costs and rejects through usable output.</t>
  </si>
  <si>
    <t>Cost per usable garnish piece</t>
  </si>
  <si>
    <t>Compare against the buyer-approved specification.</t>
  </si>
  <si>
    <t>Batch revenue at proposed price</t>
  </si>
  <si>
    <t>Assumes all usable pieces sell at this price; not a sales forecast.</t>
  </si>
  <si>
    <t>Surplus over listed costs</t>
  </si>
  <si>
    <t>Excludes tax or any cost you have not entered.</t>
  </si>
  <si>
    <t>Margin over listed costs</t>
  </si>
  <si>
    <t>Batch surplus divided by assumed revenue.</t>
  </si>
  <si>
    <t>The first production decision should use observed sample acceptance and paid reorders. Discuss taxes and formal accounting separately; this sheet is a batch-cost worksheet.</t>
  </si>
  <si>
    <t>Research sources and provenance</t>
  </si>
  <si>
    <t>Use contact source IDs Lxxx-Cn and evidence IDs Lxxx-E with the lead ID. D and Q sources support product planning. Search-index-only or conflicting sources are identified in contact notes.</t>
  </si>
  <si>
    <t>Source ID</t>
  </si>
  <si>
    <t>Business / title</t>
  </si>
  <si>
    <t>Purpose</t>
  </si>
  <si>
    <t>URL</t>
  </si>
  <si>
    <t>Source / evidence type</t>
  </si>
  <si>
    <t>Reviewed on</t>
  </si>
  <si>
    <t>What it supports / caveats</t>
  </si>
  <si>
    <t>L001-C1</t>
  </si>
  <si>
    <t>Contact</t>
  </si>
  <si>
    <t>https://www.district.in/dining/vijayawada/bratt-brewery-poranki</t>
  </si>
  <si>
    <t>See Leads contact caveats for mixed or indexed-only evidence.</t>
  </si>
  <si>
    <t>L001-C2</t>
  </si>
  <si>
    <t>L001-E</t>
  </si>
  <si>
    <t>Menu / fit</t>
  </si>
  <si>
    <t>L002-C1</t>
  </si>
  <si>
    <t>L002-E</t>
  </si>
  <si>
    <t>L003-C1</t>
  </si>
  <si>
    <t>L003-C2</t>
  </si>
  <si>
    <t>https://yandex.com/maps/org/hot_spot_restaurant_cafe/149841113664/</t>
  </si>
  <si>
    <t>L003-E</t>
  </si>
  <si>
    <t>L004-C1</t>
  </si>
  <si>
    <t>https://restaurant-guru.in/Seven-Days-Cafe-Vijayawada-3</t>
  </si>
  <si>
    <t>L004-C2</t>
  </si>
  <si>
    <t>L004-E</t>
  </si>
  <si>
    <t>L005-C1</t>
  </si>
  <si>
    <t>https://www.district.in/dining/vijayawada/waffle-world-co-1-poranki</t>
  </si>
  <si>
    <t>L005-C2</t>
  </si>
  <si>
    <t>https://www.zomato.com/vijayawada/waffle-world-co-1-poranki</t>
  </si>
  <si>
    <t>L005-E</t>
  </si>
  <si>
    <t>L006-C1</t>
  </si>
  <si>
    <t>L006-E</t>
  </si>
  <si>
    <t>L007-C1</t>
  </si>
  <si>
    <t>L007-E</t>
  </si>
  <si>
    <t>L008-C1</t>
  </si>
  <si>
    <t>L008-E</t>
  </si>
  <si>
    <t>L009-C1</t>
  </si>
  <si>
    <t>L009-E</t>
  </si>
  <si>
    <t>L010-C1</t>
  </si>
  <si>
    <t>L010-E</t>
  </si>
  <si>
    <t>L011-C1</t>
  </si>
  <si>
    <t>L011-E</t>
  </si>
  <si>
    <t>L012-C1</t>
  </si>
  <si>
    <t>https://mapcarta.com/N8441962506</t>
  </si>
  <si>
    <t>L012-C2</t>
  </si>
  <si>
    <t>L012-E</t>
  </si>
  <si>
    <t>L013-C1</t>
  </si>
  <si>
    <t>https://threebestrated.in/verandah-coffee-roasters-and-caf-cafes-vijayawada-ap-ZKZw5</t>
  </si>
  <si>
    <t>L013-C2</t>
  </si>
  <si>
    <t>https://www.tripadvisor.in/Restaurant_Review-g303876-d21012706-Reviews-Verandah_Coffee_Roasters_Cafe-Vijayawada_Krishna_District_Andhra_Pradesh.html</t>
  </si>
  <si>
    <t>L013-E</t>
  </si>
  <si>
    <t>L014-C1</t>
  </si>
  <si>
    <t>L014-E</t>
  </si>
  <si>
    <t>L015-C1</t>
  </si>
  <si>
    <t>https://threebestrated.in/brew-buzz-cafes-vijayawada-ap-8avFa</t>
  </si>
  <si>
    <t>L015-C2</t>
  </si>
  <si>
    <t>https://www.zomato.com/vijayawada/brew-buzz-labbipet/info?contextual_menu_params=eyJkaXNoX3NlYXJjaCI6eyJ0aXRsZSI6IkJlc3QgaW4gU3RyZWV0IEZvb2QiLCJkaXNoX2lkcyI6W10sImN1aXNpbmVfaWRzIjpbIjkwIl19fQ%3D%3D</t>
  </si>
  <si>
    <t>L015-E</t>
  </si>
  <si>
    <t>L016-C1</t>
  </si>
  <si>
    <t>https://www.zomato.com/vijayawada/brew-theory-gurunanak-colony/info?contextual_menu_params=eyJkaXNoX3NlYXJjaCI6eyJ0aXRsZSI6IkJlc3QgaW4gUGl6emEiLCJkaXNoX2lkcyI6W10sImN1aXNpbmVfaWRzIjpbIjgyIl19fQ%3D%3D</t>
  </si>
  <si>
    <t>L016-C2</t>
  </si>
  <si>
    <t>L016-E</t>
  </si>
  <si>
    <t>L017-C1</t>
  </si>
  <si>
    <t>L017-E</t>
  </si>
  <si>
    <t>L018-C1</t>
  </si>
  <si>
    <t>https://yappe.in/andhra-pradesh/vijayawada/cinema-cafe/836928</t>
  </si>
  <si>
    <t>L018-C2</t>
  </si>
  <si>
    <t>L018-E</t>
  </si>
  <si>
    <t>L019-C1</t>
  </si>
  <si>
    <t>L019-C2</t>
  </si>
  <si>
    <t>https://restaurant-guru.in/COFFEA-Vijayawada</t>
  </si>
  <si>
    <t>L019-E</t>
  </si>
  <si>
    <t>L020-C1</t>
  </si>
  <si>
    <t>L020-E</t>
  </si>
  <si>
    <t>L021-C1</t>
  </si>
  <si>
    <t>L021-E</t>
  </si>
  <si>
    <t>L022-C1</t>
  </si>
  <si>
    <t>L022-E</t>
  </si>
  <si>
    <t>L023-C1</t>
  </si>
  <si>
    <t>L023-E</t>
  </si>
  <si>
    <t>L024-C1</t>
  </si>
  <si>
    <t>L024-E</t>
  </si>
  <si>
    <t>L025-C1</t>
  </si>
  <si>
    <t>L025-E</t>
  </si>
  <si>
    <t>L026-C1</t>
  </si>
  <si>
    <t>https://forgebreuhous.com/contact-us/</t>
  </si>
  <si>
    <t>L026-C2</t>
  </si>
  <si>
    <t>https://www.tripadvisor.in/Restaurant_Review-g297586-d23790771-Reviews-Forge_Breu_Hous-Hyderabad_Hyderabad_District_Telangana.html</t>
  </si>
  <si>
    <t>L026-E</t>
  </si>
  <si>
    <t>L027-C1</t>
  </si>
  <si>
    <t>L027-E</t>
  </si>
  <si>
    <t>L028-C1</t>
  </si>
  <si>
    <t>L028-E</t>
  </si>
  <si>
    <t>L029-C1</t>
  </si>
  <si>
    <t>L029-E</t>
  </si>
  <si>
    <t>L030-C1</t>
  </si>
  <si>
    <t>L030-E</t>
  </si>
  <si>
    <t>L031-C1</t>
  </si>
  <si>
    <t>L031-E</t>
  </si>
  <si>
    <t>L032-C1</t>
  </si>
  <si>
    <t>https://www.roastcafe.in/locations</t>
  </si>
  <si>
    <t>L032-C2</t>
  </si>
  <si>
    <t>https://www.roastcafe.in/pages/contact</t>
  </si>
  <si>
    <t>L032-E</t>
  </si>
  <si>
    <t>L033-C1</t>
  </si>
  <si>
    <t>L033-E</t>
  </si>
  <si>
    <t>L034-C1</t>
  </si>
  <si>
    <t>L034-C2</t>
  </si>
  <si>
    <t>L034-E</t>
  </si>
  <si>
    <t>L035-C1</t>
  </si>
  <si>
    <t>L035-E</t>
  </si>
  <si>
    <t>L036-C1</t>
  </si>
  <si>
    <t>L036-E</t>
  </si>
  <si>
    <t>L037-C1</t>
  </si>
  <si>
    <t>L037-C2</t>
  </si>
  <si>
    <t>L037-E</t>
  </si>
  <si>
    <t>L038-C1</t>
  </si>
  <si>
    <t>https://www.cybo.com/IN-biz/autumn-leaf-cafe</t>
  </si>
  <si>
    <t>L038-C2</t>
  </si>
  <si>
    <t>L038-E</t>
  </si>
  <si>
    <t>L039-C1</t>
  </si>
  <si>
    <t>https://www.bharatibiz.com/en/broadway-the-brewery_1k-091333-16699</t>
  </si>
  <si>
    <t>L039-C2</t>
  </si>
  <si>
    <t>https://urbango.co.in/listing/broadway-the-brewery/</t>
  </si>
  <si>
    <t>L039-E</t>
  </si>
  <si>
    <t>L040-C1</t>
  </si>
  <si>
    <t>https://www.tripadvisor.in/Restaurant_Review-g297586-d6216248-Reviews-Concu-Hyderabad_Hyderabad_District_Telangana.html</t>
  </si>
  <si>
    <t>L040-C2</t>
  </si>
  <si>
    <t>L040-E</t>
  </si>
  <si>
    <t>L041-C1</t>
  </si>
  <si>
    <t>https://www.district.in/dining/hyderabad/the-glass-onion-gachibowli</t>
  </si>
  <si>
    <t>L041-C2</t>
  </si>
  <si>
    <t>https://www.tripadvisor.in/Restaurant_Review-g297586-d16673887-Reviews-The_Glass_Onion-Hyderabad_Hyderabad_District_Telangana.html</t>
  </si>
  <si>
    <t>L041-E</t>
  </si>
  <si>
    <t>L042-C1</t>
  </si>
  <si>
    <t>https://www.zomato.com/hyderabad/true-black-speciality-coffee-jubilee-hills</t>
  </si>
  <si>
    <t>L042-C2</t>
  </si>
  <si>
    <t>L042-E</t>
  </si>
  <si>
    <t>L043-C1</t>
  </si>
  <si>
    <t>L043-E</t>
  </si>
  <si>
    <t>L044-C1</t>
  </si>
  <si>
    <t>L044-E</t>
  </si>
  <si>
    <t>L045-C1</t>
  </si>
  <si>
    <t>L045-E</t>
  </si>
  <si>
    <t>L046-C1</t>
  </si>
  <si>
    <t>L046-E</t>
  </si>
  <si>
    <t>L047-C1</t>
  </si>
  <si>
    <t>L047-E</t>
  </si>
  <si>
    <t>L048-C1</t>
  </si>
  <si>
    <t>L048-C2</t>
  </si>
  <si>
    <t>https://assets-us-01.kc-usercontent.com/bb7ec940-c332-0010-dbb1-658c3c6cdf68/9b50bc3b-82c3-4d0d-add2-88a231fc7dca/Destination%20Guide%20Cochin%20-%20AG.pdf</t>
  </si>
  <si>
    <t>L048-E</t>
  </si>
  <si>
    <t>L049-C1</t>
  </si>
  <si>
    <t>L049-E</t>
  </si>
  <si>
    <t>L050-C1</t>
  </si>
  <si>
    <t>L050-E</t>
  </si>
  <si>
    <t>D1</t>
  </si>
  <si>
    <t>Lush Bengaluru official menus</t>
  </si>
  <si>
    <t>Product research</t>
  </si>
  <si>
    <t>Primary business menu</t>
  </si>
  <si>
    <t>The Highlander cocktail lists dehydrated orange. Other drinks list fresh citrus or fruit components. Direct evidence that dehydrated orange is used in at least one South Indian venue's published menu. It does not show supplier availability, purchase volume, profitability or demand in Poranki.</t>
  </si>
  <si>
    <t>Mirth Bengaluru official cocktail list</t>
  </si>
  <si>
    <t>Primary business menu, visible in official-domain search index</t>
  </si>
  <si>
    <t>Cocktails feature lime, lemon, pineapple/citrus and mango tea in different recipes. These flavor cues identify questions for a bar-manager tasting. Dried forms and supplier demand are not stated. Direct retrieval timed out; confirm the current menu before a personalized pitch.</t>
  </si>
  <si>
    <t>D3</t>
  </si>
  <si>
    <t>Sundays Chennai beverage program</t>
  </si>
  <si>
    <t>Primary business website</t>
  </si>
  <si>
    <t>Site describes spritzes, Old Fashioneds and zero-alcohol drinks, and a conceptual cocktail menu featuring fermented black lime. A beverage-led venue is a plausible garnish prospect. Fermented black lime and ordinary dehydrated lime wheels are different products, and no purchase demand for the latter is confirmed.</t>
  </si>
  <si>
    <t>D4</t>
  </si>
  <si>
    <t>Pandhal Cafe &amp; Deli official menu</t>
  </si>
  <si>
    <t>The Power Bowl combines granola, coconut yogurt, nuts and fresh fruit; the cafe also offers desserts. Possible channel for a chef-approved dried-fruit topping experiment. Existing fresh-fruit ingredients are not evidence that dried apple or mango is already wanted.</t>
  </si>
  <si>
    <t>D5</t>
  </si>
  <si>
    <t>Fresh Choice official site</t>
  </si>
  <si>
    <t>Primary business menu and product categories</t>
  </si>
  <si>
    <t>Site lists pastries, beverages and healthy snacks, and features Mango Chilli Soda. Useful bakery/cafe prospect and mango-flavor cue. Dehydrated mango remains a proposed new application rather than a confirmed ingredient requirement.</t>
  </si>
  <si>
    <t>Q1</t>
  </si>
  <si>
    <t>National Center for Home Food Preservation: Food Dehydrators</t>
  </si>
  <si>
    <t>https://nchfp.uga.edu/how/dry/drying-general/food-dehydrators/</t>
  </si>
  <si>
    <t>University of Georgia extension guidance</t>
  </si>
  <si>
    <t>Describes heat, airflow and vents; recommends features such as temperature adjustment, fan and timer. Explains more even tray heating and reduced flavor mixing as benefits of horizontal airflow. Use these as machine-comparison criteria, alongside a trial with the intended fruit and local service support. The article covers home equipment and does not validate a commercial machine's throughput.</t>
  </si>
  <si>
    <t>Q2</t>
  </si>
  <si>
    <t>National Center for Home Food Preservation: Packaging and Storing Dried Foods</t>
  </si>
  <si>
    <t>https://nchfp.uga.edu/how/dry/general-information-drying/packaging-and-storing-dried-foods/</t>
  </si>
  <si>
    <t>Dried food can absorb moisture again. Packing warm food can cause condensation; repeated package opening introduces air and moisture. Fruit conditioning equalizes remaining moisture in home-dried pieces. Cooling, moisture-resistant sealed packaging and pack size deserve testing. Home conditioning guidance and suggested household storage times do not establish a commercial shelf-life claim.</t>
  </si>
  <si>
    <t>Q3</t>
  </si>
  <si>
    <t>FDA: Water Activity in Foods</t>
  </si>
  <si>
    <t>https://www.fda.gov/inspections-compliance-enforcement-and-criminal-investigations/inspection-technical-guides/water-activity-aw-foods</t>
  </si>
  <si>
    <t>Food regulator technical reference</t>
  </si>
  <si>
    <t>Water activity describes water availability and affects microbial stability. Some water is bound within food; temperature control matters when measuring water activity. A batch's weight loss or total moisture does not by itself establish its water activity or safe shelf life. Seek product-appropriate laboratory validation; this US technical reference is not an Indian licensing rule.</t>
  </si>
  <si>
    <t>Q4</t>
  </si>
  <si>
    <t>Montana State University Extension: Drying Fruits</t>
  </si>
  <si>
    <t>https://extension-store.montana.edu/montguides/drying-fruits</t>
  </si>
  <si>
    <t>University extension guidance</t>
  </si>
  <si>
    <t>Fruit quality and ripeness affect the dried result. Pretreatment is recommended for quality; tray crowding, scorching, cooling and moisture re-entry matter. Dried fruit texture varies by fruit and may remain flexible. Use buyer-approved fruit varieties and repeatable preparation. Do not promise freeze-dried-like crunch from a small hot-air dryer; assess the actual finished texture and ingredients.</t>
  </si>
  <si>
    <t>Q5</t>
  </si>
  <si>
    <t>National Center for Home Food Preservation: Sun Drying</t>
  </si>
  <si>
    <t>https://nchfp.uga.edu/how/dry/sun-drying/</t>
  </si>
  <si>
    <t>Outdoor drying depends on sufficiently dry, warm, moving air, takes multiple days and can be affected by rain or overnight condensation. A controlled indoor dehydrator is a more repeatable pilot choice than weather-dependent outdoor drying. This is an equipment-planning inference, not a local climatic measurement.</t>
  </si>
  <si>
    <t>R1</t>
  </si>
  <si>
    <t>Agent Reach documentation</t>
  </si>
  <si>
    <t>Reference</t>
  </si>
  <si>
    <t>https://github.com/Panniantong/Agent-Reach/blob/main/docs/README_en.md</t>
  </si>
  <si>
    <t>Project documentation</t>
  </si>
  <si>
    <t>See corresponding written guide.</t>
  </si>
  <si>
    <t>R2</t>
  </si>
  <si>
    <t>Agent Reach install guide</t>
  </si>
  <si>
    <t>https://github.com/Panniantong/Agent-Reach/blob/main/docs/install.md</t>
  </si>
  <si>
    <t>R3</t>
  </si>
  <si>
    <t>FSSAI turnover thresholds order March 2026</t>
  </si>
  <si>
    <t>https://www.fssai.gov.in/upload/advisories/2026/03/69b4054bb6cd6Order%20dated%2013thMarch2026_Revised%20Turnover%20threshold.pdf</t>
  </si>
  <si>
    <t>Official regulator</t>
  </si>
  <si>
    <t>R4</t>
  </si>
  <si>
    <t>FSSAI amendment FAQs March 2026</t>
  </si>
  <si>
    <t>https://fssai.gov.in/upload/advisories/2026/03/69c6a23234827order_27032026.pdf</t>
  </si>
</sst>
</file>

<file path=xl/styles.xml><?xml version="1.0" encoding="utf-8"?>
<styleSheet xmlns="http://schemas.openxmlformats.org/spreadsheetml/2006/main">
  <numFmts count="3">
    <numFmt numFmtId="164" formatCode="0.00"/>
    <numFmt numFmtId="165" formatCode="&quot;₹&quot;#,##0.00"/>
    <numFmt numFmtId="166" formatCode="0.0%"/>
  </numFmts>
  <fonts count="7">
    <font>
      <sz val="11"/>
      <color theme="1"/>
      <name val="Calibri"/>
      <family val="2"/>
      <scheme val="minor"/>
    </font>
    <font>
      <sz val="10"/>
      <color theme="1"/>
      <name val="Calibri"/>
      <family val="2"/>
      <scheme val="minor"/>
    </font>
    <font>
      <b/>
      <sz val="20"/>
      <color rgb="FFFFFFFF"/>
      <name val="Calibri"/>
      <family val="2"/>
      <scheme val="minor"/>
    </font>
    <font>
      <sz val="11"/>
      <color rgb="FF44544B"/>
      <name val="Calibri"/>
      <family val="2"/>
      <scheme val="minor"/>
    </font>
    <font>
      <b/>
      <sz val="11"/>
      <color rgb="FF173B35"/>
      <name val="Calibri"/>
      <family val="2"/>
      <scheme val="minor"/>
    </font>
    <font>
      <u/>
      <sz val="11"/>
      <color rgb="FF0563C1"/>
      <name val="Calibri"/>
      <family val="2"/>
      <scheme val="minor"/>
    </font>
    <font>
      <b/>
      <sz val="11"/>
      <color rgb="FFFFFFFF"/>
      <name val="Calibri"/>
      <family val="2"/>
      <scheme val="minor"/>
    </font>
  </fonts>
  <fills count="5">
    <fill>
      <patternFill patternType="none"/>
    </fill>
    <fill>
      <patternFill patternType="gray125"/>
    </fill>
    <fill>
      <patternFill patternType="solid">
        <fgColor rgb="FF173B35"/>
        <bgColor indexed="64"/>
      </patternFill>
    </fill>
    <fill>
      <patternFill patternType="solid">
        <fgColor rgb="FFE8F3EC"/>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2" borderId="0" xfId="0" applyFont="1" applyFill="1" applyAlignment="1">
      <alignment vertical="center"/>
    </xf>
    <xf numFmtId="0" fontId="3" fillId="3" borderId="0" xfId="0" applyFont="1" applyFill="1" applyAlignment="1">
      <alignment vertical="center" wrapText="1"/>
    </xf>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164" fontId="0" fillId="4" borderId="1" xfId="0" applyNumberFormat="1" applyFill="1" applyBorder="1"/>
    <xf numFmtId="165" fontId="0" fillId="3" borderId="1" xfId="0" applyNumberFormat="1" applyFill="1" applyBorder="1"/>
    <xf numFmtId="166" fontId="0" fillId="3" borderId="1" xfId="0" applyNumberFormat="1" applyFill="1" applyBorder="1"/>
  </cellXfs>
  <cellStyles count="1">
    <cellStyle name="Normal" xfId="0" builtinId="0"/>
  </cellStyles>
  <dxfs count="2">
    <dxf>
      <font>
        <b/>
      </font>
      <fill>
        <patternFill>
          <bgColor rgb="FFCFE9D4"/>
        </patternFill>
      </fill>
    </dxf>
    <dxf>
      <fill>
        <patternFill>
          <bgColor rgb="FFFF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1.xml><?xml version="1.0" encoding="utf-8"?>
<table xmlns="http://schemas.openxmlformats.org/spreadsheetml/2006/main" id="1" name="LeadsTable" displayName="LeadsTable" ref="A5:Z55" totalsRowShown="0">
  <autoFilter ref="A5:Z55"/>
  <tableColumns count="26">
    <tableColumn id="1" name="Lead ID"/>
    <tableColumn id="2" name="Priority"/>
    <tableColumn id="3" name="Business / venue"/>
    <tableColumn id="4" name="Business type"/>
    <tableColumn id="5" name="Geographic order"/>
    <tableColumn id="6" name="City"/>
    <tableColumn id="7" name="Locality"/>
    <tableColumn id="8" name="Suggested fruits (inferred)"/>
    <tableColumn id="9" name="Public business email"/>
    <tableColumn id="10" name="Public business phone"/>
    <tableColumn id="11" name="Next action"/>
    <tableColumn id="12" name="Ask for"/>
    <tableColumn id="13" name="Published address"/>
    <tableColumn id="14" name="State"/>
    <tableColumn id="15" name="Website"/>
    <tableColumn id="16" name="Proposed use (inferred)"/>
    <tableColumn id="17" name="Evidence level"/>
    <tableColumn id="18" name="Menu / business evidence"/>
    <tableColumn id="19" name="Contact source quality"/>
    <tableColumn id="20" name="Contact caveats"/>
    <tableColumn id="21" name="Contact source URLs"/>
    <tableColumn id="22" name="Menu / fit source URL"/>
    <tableColumn id="23" name="Source review date"/>
    <tableColumn id="24" name="Buying group / coordination"/>
    <tableColumn id="25" name="Buyer demand status"/>
    <tableColumn id="26" name="Initial outreach status"/>
  </tableColumns>
  <tableStyleInfo name="TableStyleMedium4" showFirstColumn="0" showLastColumn="0" showRowStripes="1" showColumnStripes="0"/>
</table>
</file>

<file path=xl/tables/table2.xml><?xml version="1.0" encoding="utf-8"?>
<table xmlns="http://schemas.openxmlformats.org/spreadsheetml/2006/main" id="2" name="LocalTable" displayName="LocalTable" ref="A5:J30" totalsRowShown="0">
  <autoFilter ref="A5:J30"/>
  <tableColumns count="10">
    <tableColumn id="1" name="Lead ID"/>
    <tableColumn id="2" name="Business"/>
    <tableColumn id="3" name="Priority"/>
    <tableColumn id="4" name="Area"/>
    <tableColumn id="5" name="Suggested fruits"/>
    <tableColumn id="6" name="Phone"/>
    <tableColumn id="7" name="Email"/>
    <tableColumn id="8" name="Next action"/>
    <tableColumn id="9" name="Contact quality"/>
    <tableColumn id="10" name="Read before contact"/>
  </tableColumns>
  <tableStyleInfo name="TableStyleMedium4" showFirstColumn="0" showLastColumn="0" showRowStripes="1" showColumnStripes="0"/>
</table>
</file>

<file path=xl/tables/table3.xml><?xml version="1.0" encoding="utf-8"?>
<table xmlns="http://schemas.openxmlformats.org/spreadsheetml/2006/main" id="3" name="FruitTable" displayName="FruitTable" ref="A5:G10" totalsRowShown="0">
  <autoFilter ref="A5:G10"/>
  <tableColumns count="7">
    <tableColumn id="1" name="Trial rank"/>
    <tableColumn id="2" name="Fruit"/>
    <tableColumn id="3" name="Launch role"/>
    <tableColumn id="4" name="Best fit"/>
    <tableColumn id="5" name="Reasoning / limits"/>
    <tableColumn id="6" name="Ask the buyer"/>
    <tableColumn id="7" name="Source IDs"/>
  </tableColumns>
  <tableStyleInfo name="TableStyleMedium4" showFirstColumn="0" showLastColumn="0" showRowStripes="1" showColumnStripes="0"/>
</table>
</file>

<file path=xl/tables/table4.xml><?xml version="1.0" encoding="utf-8"?>
<table xmlns="http://schemas.openxmlformats.org/spreadsheetml/2006/main" id="4" name="FitTable" displayName="FitTable" ref="A5:D10" totalsRowShown="0">
  <autoFilter ref="A5:D10"/>
  <tableColumns count="4">
    <tableColumn id="1" name="Business type"/>
    <tableColumn id="2" name="Suggested first offer"/>
    <tableColumn id="3" name="Decision maker"/>
    <tableColumn id="4" name="Evidence to collect"/>
  </tableColumns>
  <tableStyleInfo name="TableStyleMedium4" showFirstColumn="0" showLastColumn="0" showRowStripes="1" showColumnStripes="0"/>
</table>
</file>

<file path=xl/tables/table5.xml><?xml version="1.0" encoding="utf-8"?>
<table xmlns="http://schemas.openxmlformats.org/spreadsheetml/2006/main" id="5" name="DraftTable" displayName="DraftTable" ref="A5:D12" totalsRowShown="0">
  <autoFilter ref="A5:D12"/>
  <tableColumns count="4">
    <tableColumn id="1" name="Use case"/>
    <tableColumn id="2" name="Subject"/>
    <tableColumn id="3" name="Email body"/>
    <tableColumn id="4" name="Status"/>
  </tableColumns>
  <tableStyleInfo name="TableStyleMedium4" showFirstColumn="0" showLastColumn="0" showRowStripes="1" showColumnStripes="0"/>
</table>
</file>

<file path=xl/tables/table6.xml><?xml version="1.0" encoding="utf-8"?>
<table xmlns="http://schemas.openxmlformats.org/spreadsheetml/2006/main" id="6" name="ContactLogTable" displayName="ContactLogTable" ref="A5:N55" totalsRowShown="0">
  <autoFilter ref="A5:N55"/>
  <tableColumns count="14">
    <tableColumn id="1" name="Lead ID"/>
    <tableColumn id="2" name="Business"/>
    <tableColumn id="3" name="Last contact date"/>
    <tableColumn id="4" name="Status"/>
    <tableColumn id="5" name="Buyer name / role"/>
    <tableColumn id="6" name="Confirmed buyer email"/>
    <tableColumn id="7" name="Current garnish method"/>
    <tableColumn id="8" name="Approved fruit / specification"/>
    <tableColumn id="9" name="Weekly use (pieces)"/>
    <tableColumn id="10" name="Target price / piece INR"/>
    <tableColumn id="11" name="Sample outcome"/>
    <tableColumn id="12" name="Next follow-up date"/>
    <tableColumn id="13" name="Permission / opt-out"/>
    <tableColumn id="14" name="Notes"/>
  </tableColumns>
  <tableStyleInfo name="TableStyleMedium4" showFirstColumn="0" showLastColumn="0" showRowStripes="1" showColumnStripes="0"/>
</table>
</file>

<file path=xl/tables/table7.xml><?xml version="1.0" encoding="utf-8"?>
<table xmlns="http://schemas.openxmlformats.org/spreadsheetml/2006/main" id="7" name="SourceTable" displayName="SourceTable" ref="A5:H139" totalsRowShown="0">
  <autoFilter ref="A5:H139"/>
  <tableColumns count="8">
    <tableColumn id="1" name="Source ID"/>
    <tableColumn id="2" name="Lead ID"/>
    <tableColumn id="3" name="Business / title"/>
    <tableColumn id="4" name="Purpose"/>
    <tableColumn id="5" name="URL"/>
    <tableColumn id="6" name="Source / evidence type"/>
    <tableColumn id="7" name="Reviewed on"/>
    <tableColumn id="8" name="What it supports / caveat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zomato.com/vijayawada/bratt-cafe-poranki" TargetMode="External"/><Relationship Id="rId2" Type="http://schemas.openxmlformats.org/officeDocument/2006/relationships/hyperlink" Target="https://www.zomato.com/vijayawada/fat-biddy-poranki" TargetMode="External"/><Relationship Id="rId3" Type="http://schemas.openxmlformats.org/officeDocument/2006/relationships/hyperlink" Target="https://www.hotspotcafe.in" TargetMode="External"/><Relationship Id="rId4" Type="http://schemas.openxmlformats.org/officeDocument/2006/relationships/hyperlink" Target="https://magicpin.in/Vijayawada/Poranki/Restaurant/Hot-Spot-Restaurant-and-Cafe/store/1910a34" TargetMode="External"/><Relationship Id="rId5" Type="http://schemas.openxmlformats.org/officeDocument/2006/relationships/hyperlink" Target="https://www.zomato.com/vijayawada/sevendays-cafe-by-ideal-foods-poranki" TargetMode="External"/><Relationship Id="rId6" Type="http://schemas.openxmlformats.org/officeDocument/2006/relationships/hyperlink" Target="https://www.zomato.com/vijayawada/waffle-world-co-1-poranki/order?contextual_menu_params=eyJkaXNoX3NlYXJjaCI6eyJ0aXRsZSI6IkJlc3QgaW4gV2FmZmxlcyIsImRpc2hfaWRzIjpbIjQxMTk5Il0sImN1aXNpbmVfaWRzIjpbXX19" TargetMode="External"/><Relationship Id="rId7" Type="http://schemas.openxmlformats.org/officeDocument/2006/relationships/hyperlink" Target="https://store.frozenbottle.com/frozen-bottle/milkshake-and-ice-cream-cafe-in-vijayawada/milkshake-and-ice-cream-cafe-in-kanuru/frozen-bottle-in-kanuru-vijayawada--41l5nU/home" TargetMode="External"/><Relationship Id="rId8" Type="http://schemas.openxmlformats.org/officeDocument/2006/relationships/hyperlink" Target="https://www.swiggy.com/city/vijayawada/frozen-bottle-milkshakes-desserts-and-ice-cream-pantakaluva-road-kanuru-rest1184948" TargetMode="External"/><Relationship Id="rId9" Type="http://schemas.openxmlformats.org/officeDocument/2006/relationships/hyperlink" Target="https://besta.co.in/" TargetMode="External"/><Relationship Id="rId10" Type="http://schemas.openxmlformats.org/officeDocument/2006/relationships/hyperlink" Target="https://besta.co.in/menu" TargetMode="External"/><Relationship Id="rId11" Type="http://schemas.openxmlformats.org/officeDocument/2006/relationships/hyperlink" Target="https://www.top-rated.online/cities/Vijayawada/place/p/16580854/Brunit%2BThe%2BBrewery" TargetMode="External"/><Relationship Id="rId12" Type="http://schemas.openxmlformats.org/officeDocument/2006/relationships/hyperlink" Target="https://www.cafeicemagic.com/" TargetMode="External"/><Relationship Id="rId13" Type="http://schemas.openxmlformats.org/officeDocument/2006/relationships/hyperlink" Target="https://www.cafeicemagic.com/" TargetMode="External"/><Relationship Id="rId14" Type="http://schemas.openxmlformats.org/officeDocument/2006/relationships/hyperlink" Target="https://ironhillindia.com/vijayawada/" TargetMode="External"/><Relationship Id="rId15" Type="http://schemas.openxmlformats.org/officeDocument/2006/relationships/hyperlink" Target="https://ironhillindia.com/vijayawada/" TargetMode="External"/><Relationship Id="rId16" Type="http://schemas.openxmlformats.org/officeDocument/2006/relationships/hyperlink" Target="https://www.zomato.com/vijayawada/mr-mocktails-auto-nagar/order" TargetMode="External"/><Relationship Id="rId17" Type="http://schemas.openxmlformats.org/officeDocument/2006/relationships/hyperlink" Target="https://www.district.in/dining/vijayawada/vault-brewery-gurunanak-colony" TargetMode="External"/><Relationship Id="rId18" Type="http://schemas.openxmlformats.org/officeDocument/2006/relationships/hyperlink" Target="https://www.zomato.com/vijayawada/verandah-coffee-roasters-and-caf%C3%A9-auto-nagar" TargetMode="External"/><Relationship Id="rId19" Type="http://schemas.openxmlformats.org/officeDocument/2006/relationships/hyperlink" Target="https://zamindarhaus.com/" TargetMode="External"/><Relationship Id="rId20" Type="http://schemas.openxmlformats.org/officeDocument/2006/relationships/hyperlink" Target="https://zamindarhaus.com/" TargetMode="External"/><Relationship Id="rId21" Type="http://schemas.openxmlformats.org/officeDocument/2006/relationships/hyperlink" Target="https://www.swiggy.com/city/vijayawada/brew-buzz-labbipet-rest93013" TargetMode="External"/><Relationship Id="rId22" Type="http://schemas.openxmlformats.org/officeDocument/2006/relationships/hyperlink" Target="https://rokazu.com/coffee-shops-in-vijayawada-india/" TargetMode="External"/><Relationship Id="rId23" Type="http://schemas.openxmlformats.org/officeDocument/2006/relationships/hyperlink" Target="https://cafekubera.in/" TargetMode="External"/><Relationship Id="rId24" Type="http://schemas.openxmlformats.org/officeDocument/2006/relationships/hyperlink" Target="https://www.district.in/dining/vijayawada/cafe-kubera-gurunanak-colony" TargetMode="External"/><Relationship Id="rId25" Type="http://schemas.openxmlformats.org/officeDocument/2006/relationships/hyperlink" Target="https://www.zomato.com/vijayawada/cinema-cafe-christurajupuram" TargetMode="External"/><Relationship Id="rId26" Type="http://schemas.openxmlformats.org/officeDocument/2006/relationships/hyperlink" Target="https://www.zomato.com/vijayawada/coffea-labbipet" TargetMode="External"/><Relationship Id="rId27" Type="http://schemas.openxmlformats.org/officeDocument/2006/relationships/hyperlink" Target="https://www.zomato.com/vijayawada/froth-and-friends-gurunanak-colony/book" TargetMode="External"/><Relationship Id="rId28" Type="http://schemas.openxmlformats.org/officeDocument/2006/relationships/hyperlink" Target="https://lavishleavescafe.com/" TargetMode="External"/><Relationship Id="rId29" Type="http://schemas.openxmlformats.org/officeDocument/2006/relationships/hyperlink" Target="https://lavishleavescafe.com/" TargetMode="External"/><Relationship Id="rId30" Type="http://schemas.openxmlformats.org/officeDocument/2006/relationships/hyperlink" Target="https://all.accor.com/hotel/A0L1/index.en.shtml" TargetMode="External"/><Relationship Id="rId31" Type="http://schemas.openxmlformats.org/officeDocument/2006/relationships/hyperlink" Target="https://all.accor.com/hotel/A0L1/index.en.shtml" TargetMode="External"/><Relationship Id="rId32" Type="http://schemas.openxmlformats.org/officeDocument/2006/relationships/hyperlink" Target="https://www.hoteldvmanor.com/" TargetMode="External"/><Relationship Id="rId33" Type="http://schemas.openxmlformats.org/officeDocument/2006/relationships/hyperlink" Target="https://www.hoteldvmanor.com/contact.php" TargetMode="External"/><Relationship Id="rId34" Type="http://schemas.openxmlformats.org/officeDocument/2006/relationships/hyperlink" Target="https://www.siestadessertcafe.in/" TargetMode="External"/><Relationship Id="rId35" Type="http://schemas.openxmlformats.org/officeDocument/2006/relationships/hyperlink" Target="https://www.siestadessertcafe.in/" TargetMode="External"/><Relationship Id="rId36" Type="http://schemas.openxmlformats.org/officeDocument/2006/relationships/hyperlink" Target="https://www.vivantahotels.com/en-in/hotels/vivanta-vijayawada" TargetMode="External"/><Relationship Id="rId37" Type="http://schemas.openxmlformats.org/officeDocument/2006/relationships/hyperlink" Target="https://www.vivantahotels.com/en-in/hotels/vivanta-vijayawada" TargetMode="External"/><Relationship Id="rId38" Type="http://schemas.openxmlformats.org/officeDocument/2006/relationships/hyperlink" Target="https://forgebreuhous.com/" TargetMode="External"/><Relationship Id="rId39" Type="http://schemas.openxmlformats.org/officeDocument/2006/relationships/hyperlink" Target="https://www.district.in/dining/hyderabad/forge-breu-hous-jubilee-hills" TargetMode="External"/><Relationship Id="rId40" Type="http://schemas.openxmlformats.org/officeDocument/2006/relationships/hyperlink" Target="https://ironhillroastery.com/" TargetMode="External"/><Relationship Id="rId41" Type="http://schemas.openxmlformats.org/officeDocument/2006/relationships/hyperlink" Target="https://ironhillroastery.com/contact/" TargetMode="External"/><Relationship Id="rId42" Type="http://schemas.openxmlformats.org/officeDocument/2006/relationships/hyperlink" Target="https://karafa.com/" TargetMode="External"/><Relationship Id="rId43" Type="http://schemas.openxmlformats.org/officeDocument/2006/relationships/hyperlink" Target="https://karafa.com/menu/" TargetMode="External"/><Relationship Id="rId44" Type="http://schemas.openxmlformats.org/officeDocument/2006/relationships/hyperlink" Target="https://naadcoffee.in/" TargetMode="External"/><Relationship Id="rId45" Type="http://schemas.openxmlformats.org/officeDocument/2006/relationships/hyperlink" Target="https://naadcoffee.in/" TargetMode="External"/><Relationship Id="rId46" Type="http://schemas.openxmlformats.org/officeDocument/2006/relationships/hyperlink" Target="https://www.olivebarandkitchen.com/olivebistrohyd.php" TargetMode="External"/><Relationship Id="rId47" Type="http://schemas.openxmlformats.org/officeDocument/2006/relationships/hyperlink" Target="https://www.olivebarandkitchen.com/olivebistrohyd.php" TargetMode="External"/><Relationship Id="rId48" Type="http://schemas.openxmlformats.org/officeDocument/2006/relationships/hyperlink" Target="https://www.prost.in/hyderabad.html" TargetMode="External"/><Relationship Id="rId49" Type="http://schemas.openxmlformats.org/officeDocument/2006/relationships/hyperlink" Target="https://www.prost.in/hyderabad.html" TargetMode="External"/><Relationship Id="rId50" Type="http://schemas.openxmlformats.org/officeDocument/2006/relationships/hyperlink" Target="https://www.roastcafe.in/" TargetMode="External"/><Relationship Id="rId51" Type="http://schemas.openxmlformats.org/officeDocument/2006/relationships/hyperlink" Target="https://www.roastcafe.in/pages/about" TargetMode="External"/><Relationship Id="rId52" Type="http://schemas.openxmlformats.org/officeDocument/2006/relationships/hyperlink" Target="https://roasterycoffee.co.in/" TargetMode="External"/><Relationship Id="rId53" Type="http://schemas.openxmlformats.org/officeDocument/2006/relationships/hyperlink" Target="https://roasterycoffee.co.in/hyderabad/" TargetMode="External"/><Relationship Id="rId54" Type="http://schemas.openxmlformats.org/officeDocument/2006/relationships/hyperlink" Target="https://grubnet.wixsite.com/roomtwo" TargetMode="External"/><Relationship Id="rId55" Type="http://schemas.openxmlformats.org/officeDocument/2006/relationships/hyperlink" Target="https://grubnet.wixsite.com/roomtwo" TargetMode="External"/><Relationship Id="rId56" Type="http://schemas.openxmlformats.org/officeDocument/2006/relationships/hyperlink" Target="https://thrivesome.in/" TargetMode="External"/><Relationship Id="rId57" Type="http://schemas.openxmlformats.org/officeDocument/2006/relationships/hyperlink" Target="https://thrivesome.in/" TargetMode="External"/><Relationship Id="rId58" Type="http://schemas.openxmlformats.org/officeDocument/2006/relationships/hyperlink" Target="https://www.trendscoffee.com/" TargetMode="External"/><Relationship Id="rId59" Type="http://schemas.openxmlformats.org/officeDocument/2006/relationships/hyperlink" Target="https://www.trendscoffee.com/visit" TargetMode="External"/><Relationship Id="rId60" Type="http://schemas.openxmlformats.org/officeDocument/2006/relationships/hyperlink" Target="https://www.zero40.com/" TargetMode="External"/><Relationship Id="rId61" Type="http://schemas.openxmlformats.org/officeDocument/2006/relationships/hyperlink" Target="https://www.zero40.com/contactless-menu?menu=jubilee-hills" TargetMode="External"/><Relationship Id="rId62" Type="http://schemas.openxmlformats.org/officeDocument/2006/relationships/hyperlink" Target="https://www.tripadvisor.com/Restaurant_Review-g297586-d26788582-Reviews-Autumn_Leaf_Cafe-Hyderabad_Hyderabad_District_Telangana.html" TargetMode="External"/><Relationship Id="rId63" Type="http://schemas.openxmlformats.org/officeDocument/2006/relationships/hyperlink" Target="https://www.facebook.com/broadwaythebrewery/" TargetMode="External"/><Relationship Id="rId64" Type="http://schemas.openxmlformats.org/officeDocument/2006/relationships/hyperlink" Target="https://www.tripadvisor.in/Restaurant_Review-g297586-d19068554-Reviews-Broadway_The_Brewery-Hyderabad_Hyderabad_District_Telangana.html" TargetMode="External"/><Relationship Id="rId65" Type="http://schemas.openxmlformats.org/officeDocument/2006/relationships/hyperlink" Target="https://www.concu.in/" TargetMode="External"/><Relationship Id="rId66" Type="http://schemas.openxmlformats.org/officeDocument/2006/relationships/hyperlink" Target="https://www.concu.in/location/671616723" TargetMode="External"/><Relationship Id="rId67" Type="http://schemas.openxmlformats.org/officeDocument/2006/relationships/hyperlink" Target="https://www.zomato.com/hyderabad/the-glass-onion-gachibowli" TargetMode="External"/><Relationship Id="rId68" Type="http://schemas.openxmlformats.org/officeDocument/2006/relationships/hyperlink" Target="https://www.trueblack.coffee/" TargetMode="External"/><Relationship Id="rId69" Type="http://schemas.openxmlformats.org/officeDocument/2006/relationships/hyperlink" Target="https://www.trueblack.coffee/" TargetMode="External"/><Relationship Id="rId70" Type="http://schemas.openxmlformats.org/officeDocument/2006/relationships/hyperlink" Target="https://casknbarrel.com/" TargetMode="External"/><Relationship Id="rId71" Type="http://schemas.openxmlformats.org/officeDocument/2006/relationships/hyperlink" Target="https://casknbarrel.com/about-us/" TargetMode="External"/><Relationship Id="rId72" Type="http://schemas.openxmlformats.org/officeDocument/2006/relationships/hyperlink" Target="https://freshchoice.in/" TargetMode="External"/><Relationship Id="rId73" Type="http://schemas.openxmlformats.org/officeDocument/2006/relationships/hyperlink" Target="https://freshchoice.in/" TargetMode="External"/><Relationship Id="rId74" Type="http://schemas.openxmlformats.org/officeDocument/2006/relationships/hyperlink" Target="https://www.lushbengaluru.com/" TargetMode="External"/><Relationship Id="rId75" Type="http://schemas.openxmlformats.org/officeDocument/2006/relationships/hyperlink" Target="https://www.lushbengaluru.com/our-menus" TargetMode="External"/><Relationship Id="rId76" Type="http://schemas.openxmlformats.org/officeDocument/2006/relationships/hyperlink" Target="https://www.mirthblr.com/" TargetMode="External"/><Relationship Id="rId77" Type="http://schemas.openxmlformats.org/officeDocument/2006/relationships/hyperlink" Target="https://www.mirthblr.com/" TargetMode="External"/><Relationship Id="rId78" Type="http://schemas.openxmlformats.org/officeDocument/2006/relationships/hyperlink" Target="https://www.pandhal.in/" TargetMode="External"/><Relationship Id="rId79" Type="http://schemas.openxmlformats.org/officeDocument/2006/relationships/hyperlink" Target="https://www.pandhal.in/cafe-deli" TargetMode="External"/><Relationship Id="rId80" Type="http://schemas.openxmlformats.org/officeDocument/2006/relationships/hyperlink" Target="https://pepperhouse.in/" TargetMode="External"/><Relationship Id="rId81" Type="http://schemas.openxmlformats.org/officeDocument/2006/relationships/hyperlink" Target="https://pepperhouse.in/" TargetMode="External"/><Relationship Id="rId82" Type="http://schemas.openxmlformats.org/officeDocument/2006/relationships/hyperlink" Target="https://secretstorychennai.in/" TargetMode="External"/><Relationship Id="rId83" Type="http://schemas.openxmlformats.org/officeDocument/2006/relationships/hyperlink" Target="https://secretstorychennai.in/" TargetMode="External"/><Relationship Id="rId84" Type="http://schemas.openxmlformats.org/officeDocument/2006/relationships/hyperlink" Target="https://sundayschennai.in/" TargetMode="External"/><Relationship Id="rId85" Type="http://schemas.openxmlformats.org/officeDocument/2006/relationships/hyperlink" Target="https://sundayschennai.in/index.html" TargetMode="External"/><Relationship Id="rId8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district.in/dining/vijayawada/bratt-brewery-poranki" TargetMode="External"/><Relationship Id="rId2" Type="http://schemas.openxmlformats.org/officeDocument/2006/relationships/hyperlink" Target="https://www.zomato.com/vijayawada/bratt-cafe-poranki" TargetMode="External"/><Relationship Id="rId3" Type="http://schemas.openxmlformats.org/officeDocument/2006/relationships/hyperlink" Target="https://www.zomato.com/vijayawada/bratt-cafe-poranki" TargetMode="External"/><Relationship Id="rId4" Type="http://schemas.openxmlformats.org/officeDocument/2006/relationships/hyperlink" Target="https://www.district.in/dining/vijayawada/fat-biddy-poranki" TargetMode="External"/><Relationship Id="rId5" Type="http://schemas.openxmlformats.org/officeDocument/2006/relationships/hyperlink" Target="https://www.zomato.com/vijayawada/fat-biddy-poranki" TargetMode="External"/><Relationship Id="rId6" Type="http://schemas.openxmlformats.org/officeDocument/2006/relationships/hyperlink" Target="https://magicpin.in/Vijayawada/Poranki/Restaurant/Hot-Spot-Restaurant-and-Cafe/store/1910a34" TargetMode="External"/><Relationship Id="rId7" Type="http://schemas.openxmlformats.org/officeDocument/2006/relationships/hyperlink" Target="https://yandex.com/maps/org/hot_spot_restaurant_cafe/149841113664/" TargetMode="External"/><Relationship Id="rId8" Type="http://schemas.openxmlformats.org/officeDocument/2006/relationships/hyperlink" Target="https://magicpin.in/Vijayawada/Poranki/Restaurant/Hot-Spot-Restaurant-and-Cafe/store/1910a34" TargetMode="External"/><Relationship Id="rId9" Type="http://schemas.openxmlformats.org/officeDocument/2006/relationships/hyperlink" Target="https://restaurant-guru.in/Seven-Days-Cafe-Vijayawada-3" TargetMode="External"/><Relationship Id="rId10" Type="http://schemas.openxmlformats.org/officeDocument/2006/relationships/hyperlink" Target="https://www.zomato.com/vijayawada/sevendays-cafe-by-ideal-foods-poranki" TargetMode="External"/><Relationship Id="rId11" Type="http://schemas.openxmlformats.org/officeDocument/2006/relationships/hyperlink" Target="https://www.zomato.com/vijayawada/sevendays-cafe-by-ideal-foods-poranki" TargetMode="External"/><Relationship Id="rId12" Type="http://schemas.openxmlformats.org/officeDocument/2006/relationships/hyperlink" Target="https://www.district.in/dining/vijayawada/waffle-world-co-1-poranki" TargetMode="External"/><Relationship Id="rId13" Type="http://schemas.openxmlformats.org/officeDocument/2006/relationships/hyperlink" Target="https://www.zomato.com/vijayawada/waffle-world-co-1-poranki" TargetMode="External"/><Relationship Id="rId14" Type="http://schemas.openxmlformats.org/officeDocument/2006/relationships/hyperlink" Target="https://www.zomato.com/vijayawada/waffle-world-co-1-poranki/order?contextual_menu_params=eyJkaXNoX3NlYXJjaCI6eyJ0aXRsZSI6IkJlc3QgaW4gV2FmZmxlcyIsImRpc2hfaWRzIjpbIjQxMTk5Il0sImN1aXNpbmVfaWRzIjpbXX19" TargetMode="External"/><Relationship Id="rId15" Type="http://schemas.openxmlformats.org/officeDocument/2006/relationships/hyperlink" Target="https://store.frozenbottle.com/frozen-bottle/milkshake-and-ice-cream-cafe-in-vijayawada/milkshake-and-ice-cream-cafe-in-kanuru/frozen-bottle-in-kanuru-vijayawada--41l5nU/home" TargetMode="External"/><Relationship Id="rId16" Type="http://schemas.openxmlformats.org/officeDocument/2006/relationships/hyperlink" Target="https://www.swiggy.com/city/vijayawada/frozen-bottle-milkshakes-desserts-and-ice-cream-pantakaluva-road-kanuru-rest1184948" TargetMode="External"/><Relationship Id="rId17" Type="http://schemas.openxmlformats.org/officeDocument/2006/relationships/hyperlink" Target="https://besta.co.in/contact" TargetMode="External"/><Relationship Id="rId18" Type="http://schemas.openxmlformats.org/officeDocument/2006/relationships/hyperlink" Target="https://besta.co.in/menu" TargetMode="External"/><Relationship Id="rId19" Type="http://schemas.openxmlformats.org/officeDocument/2006/relationships/hyperlink" Target="https://www.top-rated.online/cities/Vijayawada/place/p/16580854/Brunit%2BThe%2BBrewery" TargetMode="External"/><Relationship Id="rId20" Type="http://schemas.openxmlformats.org/officeDocument/2006/relationships/hyperlink" Target="https://www.top-rated.online/cities/Vijayawada/place/p/16580854/Brunit%2BThe%2BBrewery" TargetMode="External"/><Relationship Id="rId21" Type="http://schemas.openxmlformats.org/officeDocument/2006/relationships/hyperlink" Target="https://www.cafeicemagic.com/" TargetMode="External"/><Relationship Id="rId22" Type="http://schemas.openxmlformats.org/officeDocument/2006/relationships/hyperlink" Target="https://www.cafeicemagic.com/" TargetMode="External"/><Relationship Id="rId23" Type="http://schemas.openxmlformats.org/officeDocument/2006/relationships/hyperlink" Target="https://ironhillindia.com/vijayawada/" TargetMode="External"/><Relationship Id="rId24" Type="http://schemas.openxmlformats.org/officeDocument/2006/relationships/hyperlink" Target="https://ironhillindia.com/vijayawada/" TargetMode="External"/><Relationship Id="rId25" Type="http://schemas.openxmlformats.org/officeDocument/2006/relationships/hyperlink" Target="https://www.zomato.com/vijayawada/mr-mocktails-auto-nagar" TargetMode="External"/><Relationship Id="rId26" Type="http://schemas.openxmlformats.org/officeDocument/2006/relationships/hyperlink" Target="https://www.zomato.com/vijayawada/mr-mocktails-auto-nagar/order" TargetMode="External"/><Relationship Id="rId27" Type="http://schemas.openxmlformats.org/officeDocument/2006/relationships/hyperlink" Target="https://mapcarta.com/N8441962506" TargetMode="External"/><Relationship Id="rId28" Type="http://schemas.openxmlformats.org/officeDocument/2006/relationships/hyperlink" Target="https://www.district.in/dining/vijayawada/vault-brewery-gurunanak-colony" TargetMode="External"/><Relationship Id="rId29" Type="http://schemas.openxmlformats.org/officeDocument/2006/relationships/hyperlink" Target="https://www.district.in/dining/vijayawada/vault-brewery-gurunanak-colony" TargetMode="External"/><Relationship Id="rId30" Type="http://schemas.openxmlformats.org/officeDocument/2006/relationships/hyperlink" Target="https://threebestrated.in/verandah-coffee-roasters-and-caf-cafes-vijayawada-ap-ZKZw5" TargetMode="External"/><Relationship Id="rId31" Type="http://schemas.openxmlformats.org/officeDocument/2006/relationships/hyperlink" Target="https://www.tripadvisor.in/Restaurant_Review-g303876-d21012706-Reviews-Verandah_Coffee_Roasters_Cafe-Vijayawada_Krishna_District_Andhra_Pradesh.html" TargetMode="External"/><Relationship Id="rId32" Type="http://schemas.openxmlformats.org/officeDocument/2006/relationships/hyperlink" Target="https://www.zomato.com/vijayawada/verandah-coffee-roasters-and-caf%C3%A9-auto-nagar" TargetMode="External"/><Relationship Id="rId33" Type="http://schemas.openxmlformats.org/officeDocument/2006/relationships/hyperlink" Target="https://zamindarhaus.com/" TargetMode="External"/><Relationship Id="rId34" Type="http://schemas.openxmlformats.org/officeDocument/2006/relationships/hyperlink" Target="https://zamindarhaus.com/" TargetMode="External"/><Relationship Id="rId35" Type="http://schemas.openxmlformats.org/officeDocument/2006/relationships/hyperlink" Target="https://threebestrated.in/brew-buzz-cafes-vijayawada-ap-8avFa" TargetMode="External"/><Relationship Id="rId36" Type="http://schemas.openxmlformats.org/officeDocument/2006/relationships/hyperlink" Target="https://www.zomato.com/vijayawada/brew-buzz-labbipet/info?contextual_menu_params=eyJkaXNoX3NlYXJjaCI6eyJ0aXRsZSI6IkJlc3QgaW4gU3RyZWV0IEZvb2QiLCJkaXNoX2lkcyI6W10sImN1aXNpbmVfaWRzIjpbIjkwIl19fQ%3D%3D" TargetMode="External"/><Relationship Id="rId37" Type="http://schemas.openxmlformats.org/officeDocument/2006/relationships/hyperlink" Target="https://www.swiggy.com/city/vijayawada/brew-buzz-labbipet-rest93013" TargetMode="External"/><Relationship Id="rId38" Type="http://schemas.openxmlformats.org/officeDocument/2006/relationships/hyperlink" Target="https://www.zomato.com/vijayawada/brew-theory-gurunanak-colony/info?contextual_menu_params=eyJkaXNoX3NlYXJjaCI6eyJ0aXRsZSI6IkJlc3QgaW4gUGl6emEiLCJkaXNoX2lkcyI6W10sImN1aXNpbmVfaWRzIjpbIjgyIl19fQ%3D%3D" TargetMode="External"/><Relationship Id="rId39" Type="http://schemas.openxmlformats.org/officeDocument/2006/relationships/hyperlink" Target="https://rokazu.com/coffee-shops-in-vijayawada-india/" TargetMode="External"/><Relationship Id="rId40" Type="http://schemas.openxmlformats.org/officeDocument/2006/relationships/hyperlink" Target="https://rokazu.com/coffee-shops-in-vijayawada-india/" TargetMode="External"/><Relationship Id="rId41" Type="http://schemas.openxmlformats.org/officeDocument/2006/relationships/hyperlink" Target="https://cafekubera.in/" TargetMode="External"/><Relationship Id="rId42" Type="http://schemas.openxmlformats.org/officeDocument/2006/relationships/hyperlink" Target="https://www.district.in/dining/vijayawada/cafe-kubera-gurunanak-colony" TargetMode="External"/><Relationship Id="rId43" Type="http://schemas.openxmlformats.org/officeDocument/2006/relationships/hyperlink" Target="https://yappe.in/andhra-pradesh/vijayawada/cinema-cafe/836928" TargetMode="External"/><Relationship Id="rId44" Type="http://schemas.openxmlformats.org/officeDocument/2006/relationships/hyperlink" Target="https://www.zomato.com/vijayawada/cinema-cafe-christurajupuram" TargetMode="External"/><Relationship Id="rId45" Type="http://schemas.openxmlformats.org/officeDocument/2006/relationships/hyperlink" Target="https://www.zomato.com/vijayawada/cinema-cafe-christurajupuram" TargetMode="External"/><Relationship Id="rId46" Type="http://schemas.openxmlformats.org/officeDocument/2006/relationships/hyperlink" Target="https://www.zomato.com/vijayawada/coffea-labbipet" TargetMode="External"/><Relationship Id="rId47" Type="http://schemas.openxmlformats.org/officeDocument/2006/relationships/hyperlink" Target="https://restaurant-guru.in/COFFEA-Vijayawada" TargetMode="External"/><Relationship Id="rId48" Type="http://schemas.openxmlformats.org/officeDocument/2006/relationships/hyperlink" Target="https://www.zomato.com/vijayawada/coffea-labbipet" TargetMode="External"/><Relationship Id="rId49" Type="http://schemas.openxmlformats.org/officeDocument/2006/relationships/hyperlink" Target="https://www.district.in/dining/vijayawada/froth-and-friends-gurunanak-colony" TargetMode="External"/><Relationship Id="rId50" Type="http://schemas.openxmlformats.org/officeDocument/2006/relationships/hyperlink" Target="https://www.zomato.com/vijayawada/froth-and-friends-gurunanak-colony/book" TargetMode="External"/><Relationship Id="rId51" Type="http://schemas.openxmlformats.org/officeDocument/2006/relationships/hyperlink" Target="https://lavishleavescafe.com/" TargetMode="External"/><Relationship Id="rId52" Type="http://schemas.openxmlformats.org/officeDocument/2006/relationships/hyperlink" Target="https://lavishleavescafe.com/" TargetMode="External"/><Relationship Id="rId53" Type="http://schemas.openxmlformats.org/officeDocument/2006/relationships/hyperlink" Target="https://all.accor.com/hotel/A0L1/index.en.shtml" TargetMode="External"/><Relationship Id="rId54" Type="http://schemas.openxmlformats.org/officeDocument/2006/relationships/hyperlink" Target="https://all.accor.com/hotel/A0L1/index.en.shtml" TargetMode="External"/><Relationship Id="rId55" Type="http://schemas.openxmlformats.org/officeDocument/2006/relationships/hyperlink" Target="https://www.hoteldvmanor.com/contact.php" TargetMode="External"/><Relationship Id="rId56" Type="http://schemas.openxmlformats.org/officeDocument/2006/relationships/hyperlink" Target="https://www.hoteldvmanor.com/contact.php" TargetMode="External"/><Relationship Id="rId57" Type="http://schemas.openxmlformats.org/officeDocument/2006/relationships/hyperlink" Target="https://www.siestadessertcafe.in/" TargetMode="External"/><Relationship Id="rId58" Type="http://schemas.openxmlformats.org/officeDocument/2006/relationships/hyperlink" Target="https://www.siestadessertcafe.in/" TargetMode="External"/><Relationship Id="rId59" Type="http://schemas.openxmlformats.org/officeDocument/2006/relationships/hyperlink" Target="https://www.vivantahotels.com/en-in/hotels/vivanta-vijayawada" TargetMode="External"/><Relationship Id="rId60" Type="http://schemas.openxmlformats.org/officeDocument/2006/relationships/hyperlink" Target="https://www.vivantahotels.com/en-in/hotels/vivanta-vijayawada" TargetMode="External"/><Relationship Id="rId61" Type="http://schemas.openxmlformats.org/officeDocument/2006/relationships/hyperlink" Target="https://forgebreuhous.com/contact-us/" TargetMode="External"/><Relationship Id="rId62" Type="http://schemas.openxmlformats.org/officeDocument/2006/relationships/hyperlink" Target="https://www.tripadvisor.in/Restaurant_Review-g297586-d23790771-Reviews-Forge_Breu_Hous-Hyderabad_Hyderabad_District_Telangana.html" TargetMode="External"/><Relationship Id="rId63" Type="http://schemas.openxmlformats.org/officeDocument/2006/relationships/hyperlink" Target="https://www.district.in/dining/hyderabad/forge-breu-hous-jubilee-hills" TargetMode="External"/><Relationship Id="rId64" Type="http://schemas.openxmlformats.org/officeDocument/2006/relationships/hyperlink" Target="https://ironhillroastery.com/contact/" TargetMode="External"/><Relationship Id="rId65" Type="http://schemas.openxmlformats.org/officeDocument/2006/relationships/hyperlink" Target="https://ironhillroastery.com/contact/" TargetMode="External"/><Relationship Id="rId66" Type="http://schemas.openxmlformats.org/officeDocument/2006/relationships/hyperlink" Target="https://karafa.com/contact-us/" TargetMode="External"/><Relationship Id="rId67" Type="http://schemas.openxmlformats.org/officeDocument/2006/relationships/hyperlink" Target="https://karafa.com/menu/" TargetMode="External"/><Relationship Id="rId68" Type="http://schemas.openxmlformats.org/officeDocument/2006/relationships/hyperlink" Target="https://naadcoffee.in/pages/connect-with-us" TargetMode="External"/><Relationship Id="rId69" Type="http://schemas.openxmlformats.org/officeDocument/2006/relationships/hyperlink" Target="https://naadcoffee.in/" TargetMode="External"/><Relationship Id="rId70" Type="http://schemas.openxmlformats.org/officeDocument/2006/relationships/hyperlink" Target="https://www.olivebarandkitchen.com/olivebistrohyd.php" TargetMode="External"/><Relationship Id="rId71" Type="http://schemas.openxmlformats.org/officeDocument/2006/relationships/hyperlink" Target="https://www.olivebarandkitchen.com/olivebistrohyd.php" TargetMode="External"/><Relationship Id="rId72" Type="http://schemas.openxmlformats.org/officeDocument/2006/relationships/hyperlink" Target="https://www.prost.in/hyderabad-contact.html" TargetMode="External"/><Relationship Id="rId73" Type="http://schemas.openxmlformats.org/officeDocument/2006/relationships/hyperlink" Target="https://www.prost.in/hyderabad.html" TargetMode="External"/><Relationship Id="rId74" Type="http://schemas.openxmlformats.org/officeDocument/2006/relationships/hyperlink" Target="https://www.roastcafe.in/locations" TargetMode="External"/><Relationship Id="rId75" Type="http://schemas.openxmlformats.org/officeDocument/2006/relationships/hyperlink" Target="https://www.roastcafe.in/pages/contact" TargetMode="External"/><Relationship Id="rId76" Type="http://schemas.openxmlformats.org/officeDocument/2006/relationships/hyperlink" Target="https://www.roastcafe.in/pages/about" TargetMode="External"/><Relationship Id="rId77" Type="http://schemas.openxmlformats.org/officeDocument/2006/relationships/hyperlink" Target="https://roasterycoffee.co.in/contact/" TargetMode="External"/><Relationship Id="rId78" Type="http://schemas.openxmlformats.org/officeDocument/2006/relationships/hyperlink" Target="https://roasterycoffee.co.in/hyderabad/" TargetMode="External"/><Relationship Id="rId79" Type="http://schemas.openxmlformats.org/officeDocument/2006/relationships/hyperlink" Target="https://grubnet.wixsite.com/roomtwo" TargetMode="External"/><Relationship Id="rId80" Type="http://schemas.openxmlformats.org/officeDocument/2006/relationships/hyperlink" Target="https://www.zero40.com/contactless-menu?menu=jubilee-hills" TargetMode="External"/><Relationship Id="rId81" Type="http://schemas.openxmlformats.org/officeDocument/2006/relationships/hyperlink" Target="https://grubnet.wixsite.com/roomtwo" TargetMode="External"/><Relationship Id="rId82" Type="http://schemas.openxmlformats.org/officeDocument/2006/relationships/hyperlink" Target="https://thrivesome.in/" TargetMode="External"/><Relationship Id="rId83" Type="http://schemas.openxmlformats.org/officeDocument/2006/relationships/hyperlink" Target="https://thrivesome.in/" TargetMode="External"/><Relationship Id="rId84" Type="http://schemas.openxmlformats.org/officeDocument/2006/relationships/hyperlink" Target="https://www.trendscoffee.com/visit" TargetMode="External"/><Relationship Id="rId85" Type="http://schemas.openxmlformats.org/officeDocument/2006/relationships/hyperlink" Target="https://www.trendscoffee.com/visit" TargetMode="External"/><Relationship Id="rId86" Type="http://schemas.openxmlformats.org/officeDocument/2006/relationships/hyperlink" Target="https://www.zero40.com/contactless-menu?menu=jubilee-hills" TargetMode="External"/><Relationship Id="rId87" Type="http://schemas.openxmlformats.org/officeDocument/2006/relationships/hyperlink" Target="https://www.zero40.com/" TargetMode="External"/><Relationship Id="rId88" Type="http://schemas.openxmlformats.org/officeDocument/2006/relationships/hyperlink" Target="https://www.zero40.com/contactless-menu?menu=jubilee-hills" TargetMode="External"/><Relationship Id="rId89" Type="http://schemas.openxmlformats.org/officeDocument/2006/relationships/hyperlink" Target="https://www.cybo.com/IN-biz/autumn-leaf-cafe" TargetMode="External"/><Relationship Id="rId90" Type="http://schemas.openxmlformats.org/officeDocument/2006/relationships/hyperlink" Target="https://www.tripadvisor.com/Restaurant_Review-g297586-d26788582-Reviews-Autumn_Leaf_Cafe-Hyderabad_Hyderabad_District_Telangana.html" TargetMode="External"/><Relationship Id="rId91" Type="http://schemas.openxmlformats.org/officeDocument/2006/relationships/hyperlink" Target="https://www.tripadvisor.com/Restaurant_Review-g297586-d26788582-Reviews-Autumn_Leaf_Cafe-Hyderabad_Hyderabad_District_Telangana.html" TargetMode="External"/><Relationship Id="rId92" Type="http://schemas.openxmlformats.org/officeDocument/2006/relationships/hyperlink" Target="https://www.bharatibiz.com/en/broadway-the-brewery_1k-091333-16699" TargetMode="External"/><Relationship Id="rId93" Type="http://schemas.openxmlformats.org/officeDocument/2006/relationships/hyperlink" Target="https://urbango.co.in/listing/broadway-the-brewery/" TargetMode="External"/><Relationship Id="rId94" Type="http://schemas.openxmlformats.org/officeDocument/2006/relationships/hyperlink" Target="https://www.tripadvisor.in/Restaurant_Review-g297586-d19068554-Reviews-Broadway_The_Brewery-Hyderabad_Hyderabad_District_Telangana.html" TargetMode="External"/><Relationship Id="rId95" Type="http://schemas.openxmlformats.org/officeDocument/2006/relationships/hyperlink" Target="https://www.tripadvisor.in/Restaurant_Review-g297586-d6216248-Reviews-Concu-Hyderabad_Hyderabad_District_Telangana.html" TargetMode="External"/><Relationship Id="rId96" Type="http://schemas.openxmlformats.org/officeDocument/2006/relationships/hyperlink" Target="https://www.concu.in/location/671616723" TargetMode="External"/><Relationship Id="rId97" Type="http://schemas.openxmlformats.org/officeDocument/2006/relationships/hyperlink" Target="https://www.concu.in/location/671616723" TargetMode="External"/><Relationship Id="rId98" Type="http://schemas.openxmlformats.org/officeDocument/2006/relationships/hyperlink" Target="https://www.district.in/dining/hyderabad/the-glass-onion-gachibowli" TargetMode="External"/><Relationship Id="rId99" Type="http://schemas.openxmlformats.org/officeDocument/2006/relationships/hyperlink" Target="https://www.tripadvisor.in/Restaurant_Review-g297586-d16673887-Reviews-The_Glass_Onion-Hyderabad_Hyderabad_District_Telangana.html" TargetMode="External"/><Relationship Id="rId100" Type="http://schemas.openxmlformats.org/officeDocument/2006/relationships/hyperlink" Target="https://www.zomato.com/hyderabad/the-glass-onion-gachibowli" TargetMode="External"/><Relationship Id="rId101" Type="http://schemas.openxmlformats.org/officeDocument/2006/relationships/hyperlink" Target="https://www.zomato.com/hyderabad/true-black-speciality-coffee-jubilee-hills" TargetMode="External"/><Relationship Id="rId102" Type="http://schemas.openxmlformats.org/officeDocument/2006/relationships/hyperlink" Target="https://www.trueblack.coffee/" TargetMode="External"/><Relationship Id="rId103" Type="http://schemas.openxmlformats.org/officeDocument/2006/relationships/hyperlink" Target="https://www.trueblack.coffee/" TargetMode="External"/><Relationship Id="rId104" Type="http://schemas.openxmlformats.org/officeDocument/2006/relationships/hyperlink" Target="https://casknbarrel.com/about-us/" TargetMode="External"/><Relationship Id="rId105" Type="http://schemas.openxmlformats.org/officeDocument/2006/relationships/hyperlink" Target="https://casknbarrel.com/about-us/" TargetMode="External"/><Relationship Id="rId106" Type="http://schemas.openxmlformats.org/officeDocument/2006/relationships/hyperlink" Target="https://freshchoice.in/" TargetMode="External"/><Relationship Id="rId107" Type="http://schemas.openxmlformats.org/officeDocument/2006/relationships/hyperlink" Target="https://freshchoice.in/" TargetMode="External"/><Relationship Id="rId108" Type="http://schemas.openxmlformats.org/officeDocument/2006/relationships/hyperlink" Target="https://www.lushbengaluru.com/our-menus" TargetMode="External"/><Relationship Id="rId109" Type="http://schemas.openxmlformats.org/officeDocument/2006/relationships/hyperlink" Target="https://www.lushbengaluru.com/our-menus" TargetMode="External"/><Relationship Id="rId110" Type="http://schemas.openxmlformats.org/officeDocument/2006/relationships/hyperlink" Target="https://www.mirthblr.com/" TargetMode="External"/><Relationship Id="rId111" Type="http://schemas.openxmlformats.org/officeDocument/2006/relationships/hyperlink" Target="https://www.mirthblr.com/" TargetMode="External"/><Relationship Id="rId112" Type="http://schemas.openxmlformats.org/officeDocument/2006/relationships/hyperlink" Target="https://www.pandhal.in/store-locator/kochi" TargetMode="External"/><Relationship Id="rId113" Type="http://schemas.openxmlformats.org/officeDocument/2006/relationships/hyperlink" Target="https://www.pandhal.in/cafe-deli" TargetMode="External"/><Relationship Id="rId114" Type="http://schemas.openxmlformats.org/officeDocument/2006/relationships/hyperlink" Target="https://pepperhouse.in/" TargetMode="External"/><Relationship Id="rId115" Type="http://schemas.openxmlformats.org/officeDocument/2006/relationships/hyperlink" Target="https://assets-us-01.kc-usercontent.com/bb7ec940-c332-0010-dbb1-658c3c6cdf68/9b50bc3b-82c3-4d0d-add2-88a231fc7dca/Destination%20Guide%20Cochin%20-%20AG.pdf" TargetMode="External"/><Relationship Id="rId116" Type="http://schemas.openxmlformats.org/officeDocument/2006/relationships/hyperlink" Target="https://pepperhouse.in/" TargetMode="External"/><Relationship Id="rId117" Type="http://schemas.openxmlformats.org/officeDocument/2006/relationships/hyperlink" Target="https://secretstorychennai.in/" TargetMode="External"/><Relationship Id="rId118" Type="http://schemas.openxmlformats.org/officeDocument/2006/relationships/hyperlink" Target="https://secretstorychennai.in/" TargetMode="External"/><Relationship Id="rId119" Type="http://schemas.openxmlformats.org/officeDocument/2006/relationships/hyperlink" Target="https://sundayschennai.in/index.html" TargetMode="External"/><Relationship Id="rId120" Type="http://schemas.openxmlformats.org/officeDocument/2006/relationships/hyperlink" Target="https://sundayschennai.in/index.html" TargetMode="External"/><Relationship Id="rId121" Type="http://schemas.openxmlformats.org/officeDocument/2006/relationships/hyperlink" Target="https://www.lushbengaluru.com/our-menus" TargetMode="External"/><Relationship Id="rId122" Type="http://schemas.openxmlformats.org/officeDocument/2006/relationships/hyperlink" Target="https://www.mirthblr.com/" TargetMode="External"/><Relationship Id="rId123" Type="http://schemas.openxmlformats.org/officeDocument/2006/relationships/hyperlink" Target="https://sundayschennai.in/index.html" TargetMode="External"/><Relationship Id="rId124" Type="http://schemas.openxmlformats.org/officeDocument/2006/relationships/hyperlink" Target="https://www.pandhal.in/cafe-deli" TargetMode="External"/><Relationship Id="rId125" Type="http://schemas.openxmlformats.org/officeDocument/2006/relationships/hyperlink" Target="https://freshchoice.in/" TargetMode="External"/><Relationship Id="rId126" Type="http://schemas.openxmlformats.org/officeDocument/2006/relationships/hyperlink" Target="https://nchfp.uga.edu/how/dry/drying-general/food-dehydrators/" TargetMode="External"/><Relationship Id="rId127" Type="http://schemas.openxmlformats.org/officeDocument/2006/relationships/hyperlink" Target="https://nchfp.uga.edu/how/dry/general-information-drying/packaging-and-storing-dried-foods/" TargetMode="External"/><Relationship Id="rId128" Type="http://schemas.openxmlformats.org/officeDocument/2006/relationships/hyperlink" Target="https://www.fda.gov/inspections-compliance-enforcement-and-criminal-investigations/inspection-technical-guides/water-activity-aw-foods" TargetMode="External"/><Relationship Id="rId129" Type="http://schemas.openxmlformats.org/officeDocument/2006/relationships/hyperlink" Target="https://extension-store.montana.edu/montguides/drying-fruits" TargetMode="External"/><Relationship Id="rId130" Type="http://schemas.openxmlformats.org/officeDocument/2006/relationships/hyperlink" Target="https://nchfp.uga.edu/how/dry/sun-drying/" TargetMode="External"/><Relationship Id="rId131" Type="http://schemas.openxmlformats.org/officeDocument/2006/relationships/hyperlink" Target="https://github.com/Panniantong/Agent-Reach/blob/main/docs/README_en.md" TargetMode="External"/><Relationship Id="rId132" Type="http://schemas.openxmlformats.org/officeDocument/2006/relationships/hyperlink" Target="https://github.com/Panniantong/Agent-Reach/blob/main/docs/install.md" TargetMode="External"/><Relationship Id="rId133" Type="http://schemas.openxmlformats.org/officeDocument/2006/relationships/hyperlink" Target="https://www.fssai.gov.in/upload/advisories/2026/03/69b4054bb6cd6Order%20dated%2013thMarch2026_Revised%20Turnover%20threshold.pdf" TargetMode="External"/><Relationship Id="rId134" Type="http://schemas.openxmlformats.org/officeDocument/2006/relationships/hyperlink" Target="https://fssai.gov.in/upload/advisories/2026/03/69c6a23234827order_27032026.pdf" TargetMode="External"/><Relationship Id="rId13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sheetPr>
    <pageSetUpPr fitToPage="1"/>
  </sheetPr>
  <dimension ref="A1:F42"/>
  <sheetViews>
    <sheetView showGridLines="0" tabSelected="1" workbookViewId="0">
      <pane ySplit="5" topLeftCell="A6" activePane="bottomLeft" state="frozen"/>
      <selection pane="bottomLeft"/>
    </sheetView>
  </sheetViews>
  <sheetFormatPr defaultRowHeight="15"/>
  <cols>
    <col min="1" max="1" width="27.7109375" style="1" customWidth="1"/>
    <col min="2" max="4" width="35.7109375" style="1" customWidth="1"/>
    <col min="5" max="6" width="22.7109375" style="1" customWidth="1"/>
  </cols>
  <sheetData>
    <row r="1" spans="1:6" ht="33.75" customHeight="1">
      <c r="A1" s="2" t="s">
        <v>0</v>
      </c>
      <c r="B1" s="2"/>
      <c r="C1" s="2"/>
      <c r="D1" s="2"/>
      <c r="E1" s="2"/>
      <c r="F1" s="2"/>
    </row>
    <row r="2" spans="1:6" ht="24" customHeight="1">
      <c r="A2" s="3" t="s">
        <v>1</v>
      </c>
      <c r="B2" s="3"/>
      <c r="C2" s="3"/>
      <c r="D2" s="3"/>
      <c r="E2" s="3"/>
      <c r="F2" s="3"/>
    </row>
    <row r="3" spans="1:6" ht="24" customHeight="1">
      <c r="A3" s="3"/>
      <c r="B3" s="3"/>
      <c r="C3" s="3"/>
      <c r="D3" s="3"/>
      <c r="E3" s="3"/>
      <c r="F3" s="3"/>
    </row>
    <row r="5" spans="1:6">
      <c r="A5" s="4" t="s">
        <v>2</v>
      </c>
      <c r="B5" s="4"/>
      <c r="C5" s="4"/>
      <c r="D5" s="1">
        <v>50</v>
      </c>
    </row>
    <row r="6" spans="1:6">
      <c r="A6" s="4" t="s">
        <v>3</v>
      </c>
      <c r="B6" s="4"/>
      <c r="C6" s="4"/>
      <c r="D6" s="1">
        <v>6</v>
      </c>
    </row>
    <row r="7" spans="1:6">
      <c r="A7" s="4" t="s">
        <v>4</v>
      </c>
      <c r="B7" s="4"/>
      <c r="C7" s="4"/>
      <c r="D7" s="1">
        <v>19</v>
      </c>
    </row>
    <row r="8" spans="1:6">
      <c r="A8" s="4" t="s">
        <v>5</v>
      </c>
      <c r="B8" s="4"/>
      <c r="C8" s="4"/>
      <c r="D8" s="1">
        <v>17</v>
      </c>
    </row>
    <row r="9" spans="1:6">
      <c r="A9" s="4" t="s">
        <v>6</v>
      </c>
      <c r="B9" s="4"/>
      <c r="C9" s="4"/>
      <c r="D9" s="1">
        <v>8</v>
      </c>
    </row>
    <row r="10" spans="1:6">
      <c r="A10" s="4" t="s">
        <v>7</v>
      </c>
      <c r="B10" s="4"/>
      <c r="C10" s="4"/>
      <c r="D10" s="1">
        <v>33</v>
      </c>
    </row>
    <row r="11" spans="1:6">
      <c r="A11" s="4" t="s">
        <v>8</v>
      </c>
      <c r="B11" s="4"/>
      <c r="C11" s="4"/>
      <c r="D11" s="1">
        <v>49</v>
      </c>
    </row>
    <row r="12" spans="1:6">
      <c r="A12" s="4" t="s">
        <v>9</v>
      </c>
      <c r="B12" s="4"/>
      <c r="C12" s="4"/>
      <c r="D12" s="1">
        <v>30</v>
      </c>
    </row>
    <row r="13" spans="1:6">
      <c r="A13" s="4" t="s">
        <v>10</v>
      </c>
      <c r="B13" s="4"/>
      <c r="C13" s="4"/>
      <c r="D13" s="1">
        <v>0</v>
      </c>
    </row>
    <row r="14" spans="1:6">
      <c r="A14" s="4" t="s">
        <v>11</v>
      </c>
      <c r="B14" s="4"/>
      <c r="C14" s="4"/>
      <c r="D14" s="1">
        <v>0</v>
      </c>
    </row>
    <row r="16" spans="1:6">
      <c r="A16" s="3" t="s">
        <v>12</v>
      </c>
      <c r="B16" s="3"/>
      <c r="C16" s="3"/>
      <c r="D16" s="3"/>
      <c r="E16" s="3"/>
      <c r="F16" s="3"/>
    </row>
    <row r="17" spans="1:6">
      <c r="A17" s="3"/>
      <c r="B17" s="3"/>
      <c r="C17" s="3"/>
      <c r="D17" s="3"/>
      <c r="E17" s="3"/>
      <c r="F17" s="3"/>
    </row>
    <row r="19" spans="1:6" ht="33.75" customHeight="1">
      <c r="A19" s="5" t="s">
        <v>13</v>
      </c>
      <c r="B19" s="1" t="s">
        <v>14</v>
      </c>
      <c r="C19" s="1"/>
      <c r="D19" s="1"/>
      <c r="E19" s="1"/>
      <c r="F19" s="1"/>
    </row>
    <row r="20" spans="1:6" ht="33.75" customHeight="1">
      <c r="A20" s="5" t="s">
        <v>15</v>
      </c>
      <c r="B20" s="1" t="s">
        <v>16</v>
      </c>
      <c r="C20" s="1"/>
      <c r="D20" s="1"/>
      <c r="E20" s="1"/>
      <c r="F20" s="1"/>
    </row>
    <row r="21" spans="1:6" ht="33.75" customHeight="1">
      <c r="A21" s="5" t="s">
        <v>17</v>
      </c>
      <c r="B21" s="1" t="s">
        <v>18</v>
      </c>
      <c r="C21" s="1"/>
      <c r="D21" s="1"/>
      <c r="E21" s="1"/>
      <c r="F21" s="1"/>
    </row>
    <row r="22" spans="1:6" ht="33.75" customHeight="1">
      <c r="A22" s="5" t="s">
        <v>19</v>
      </c>
      <c r="B22" s="1" t="s">
        <v>20</v>
      </c>
      <c r="C22" s="1"/>
      <c r="D22" s="1"/>
      <c r="E22" s="1"/>
      <c r="F22" s="1"/>
    </row>
    <row r="23" spans="1:6" ht="33.75" customHeight="1">
      <c r="A23" s="5" t="s">
        <v>21</v>
      </c>
      <c r="B23" s="1" t="s">
        <v>22</v>
      </c>
      <c r="C23" s="1"/>
      <c r="D23" s="1"/>
      <c r="E23" s="1"/>
      <c r="F23" s="1"/>
    </row>
    <row r="24" spans="1:6" ht="33.75" customHeight="1">
      <c r="A24" s="5" t="s">
        <v>23</v>
      </c>
      <c r="B24" s="1" t="s">
        <v>24</v>
      </c>
      <c r="C24" s="1"/>
      <c r="D24" s="1"/>
      <c r="E24" s="1"/>
      <c r="F24" s="1"/>
    </row>
    <row r="25" spans="1:6" ht="33.75" customHeight="1">
      <c r="A25" s="5" t="s">
        <v>25</v>
      </c>
      <c r="B25" s="1" t="s">
        <v>26</v>
      </c>
      <c r="C25" s="1"/>
      <c r="D25" s="1"/>
      <c r="E25" s="1"/>
      <c r="F25" s="1"/>
    </row>
    <row r="26" spans="1:6" ht="33.75" customHeight="1">
      <c r="A26" s="5" t="s">
        <v>27</v>
      </c>
      <c r="B26" s="1" t="s">
        <v>28</v>
      </c>
      <c r="C26" s="1"/>
      <c r="D26" s="1"/>
      <c r="E26" s="1"/>
      <c r="F26" s="1"/>
    </row>
    <row r="29" spans="1:6">
      <c r="A29" s="3" t="s">
        <v>29</v>
      </c>
      <c r="B29" s="3"/>
      <c r="C29" s="3"/>
      <c r="D29" s="3"/>
      <c r="E29" s="3"/>
      <c r="F29" s="3"/>
    </row>
    <row r="30" spans="1:6">
      <c r="A30" s="3"/>
      <c r="B30" s="3"/>
      <c r="C30" s="3"/>
      <c r="D30" s="3"/>
      <c r="E30" s="3"/>
      <c r="F30" s="3"/>
    </row>
    <row r="31" spans="1:6">
      <c r="A31" s="3" t="s">
        <v>30</v>
      </c>
      <c r="B31" s="3"/>
      <c r="C31" s="3"/>
      <c r="D31" s="3"/>
      <c r="E31" s="3"/>
      <c r="F31" s="3"/>
    </row>
    <row r="32" spans="1:6">
      <c r="A32" s="3"/>
      <c r="B32" s="3"/>
      <c r="C32" s="3"/>
      <c r="D32" s="3"/>
      <c r="E32" s="3"/>
      <c r="F32" s="3"/>
    </row>
    <row r="33" spans="1:6">
      <c r="A33" s="3" t="s">
        <v>31</v>
      </c>
      <c r="B33" s="3"/>
      <c r="C33" s="3"/>
      <c r="D33" s="3"/>
      <c r="E33" s="3"/>
      <c r="F33" s="3"/>
    </row>
    <row r="34" spans="1:6">
      <c r="A34" s="3"/>
      <c r="B34" s="3"/>
      <c r="C34" s="3"/>
      <c r="D34" s="3"/>
      <c r="E34" s="3"/>
      <c r="F34" s="3"/>
    </row>
    <row r="35" spans="1:6">
      <c r="A35" s="3" t="s">
        <v>32</v>
      </c>
      <c r="B35" s="3"/>
      <c r="C35" s="3"/>
      <c r="D35" s="3"/>
      <c r="E35" s="3"/>
      <c r="F35" s="3"/>
    </row>
    <row r="36" spans="1:6">
      <c r="A36" s="3"/>
      <c r="B36" s="3"/>
      <c r="C36" s="3"/>
      <c r="D36" s="3"/>
      <c r="E36" s="3"/>
      <c r="F36" s="3"/>
    </row>
    <row r="37" spans="1:6">
      <c r="A37" s="3" t="s">
        <v>33</v>
      </c>
      <c r="B37" s="3"/>
      <c r="C37" s="3"/>
      <c r="D37" s="3"/>
      <c r="E37" s="3"/>
      <c r="F37" s="3"/>
    </row>
    <row r="38" spans="1:6">
      <c r="A38" s="3"/>
      <c r="B38" s="3"/>
      <c r="C38" s="3"/>
      <c r="D38" s="3"/>
      <c r="E38" s="3"/>
      <c r="F38" s="3"/>
    </row>
    <row r="39" spans="1:6">
      <c r="A39" s="3" t="s">
        <v>34</v>
      </c>
      <c r="B39" s="3"/>
      <c r="C39" s="3"/>
      <c r="D39" s="3"/>
      <c r="E39" s="3"/>
      <c r="F39" s="3"/>
    </row>
    <row r="40" spans="1:6">
      <c r="A40" s="3"/>
      <c r="B40" s="3"/>
      <c r="C40" s="3"/>
      <c r="D40" s="3"/>
      <c r="E40" s="3"/>
      <c r="F40" s="3"/>
    </row>
    <row r="41" spans="1:6">
      <c r="A41" s="3" t="s">
        <v>35</v>
      </c>
      <c r="B41" s="3"/>
      <c r="C41" s="3"/>
      <c r="D41" s="3"/>
      <c r="E41" s="3"/>
      <c r="F41" s="3"/>
    </row>
    <row r="42" spans="1:6">
      <c r="A42" s="3"/>
      <c r="B42" s="3"/>
      <c r="C42" s="3"/>
      <c r="D42" s="3"/>
      <c r="E42" s="3"/>
      <c r="F42" s="3"/>
    </row>
  </sheetData>
  <mergeCells count="28">
    <mergeCell ref="A1:F1"/>
    <mergeCell ref="A2:F3"/>
    <mergeCell ref="A5:C5"/>
    <mergeCell ref="A6:C6"/>
    <mergeCell ref="A7:C7"/>
    <mergeCell ref="A8:C8"/>
    <mergeCell ref="A9:C9"/>
    <mergeCell ref="A10:C10"/>
    <mergeCell ref="A11:C11"/>
    <mergeCell ref="A12:C12"/>
    <mergeCell ref="A13:C13"/>
    <mergeCell ref="A14:C14"/>
    <mergeCell ref="A16:F17"/>
    <mergeCell ref="B19:F19"/>
    <mergeCell ref="B20:F20"/>
    <mergeCell ref="B21:F21"/>
    <mergeCell ref="B22:F22"/>
    <mergeCell ref="B23:F23"/>
    <mergeCell ref="B24:F24"/>
    <mergeCell ref="B25:F25"/>
    <mergeCell ref="B26:F26"/>
    <mergeCell ref="A29:F30"/>
    <mergeCell ref="A31:F32"/>
    <mergeCell ref="A33:F34"/>
    <mergeCell ref="A35:F36"/>
    <mergeCell ref="A37:F38"/>
    <mergeCell ref="A39:F40"/>
    <mergeCell ref="A41:F42"/>
  </mergeCells>
  <hyperlinks>
    <hyperlink ref="A19" location="'Local First'!A1" display="Local First"/>
    <hyperlink ref="A20" location="'Leads'!A1" display="Leads"/>
    <hyperlink ref="A21" location="'Fruit Plan'!A1" display="Fruit Plan"/>
    <hyperlink ref="A22" location="'Business Fit'!A1" display="Business Fit"/>
    <hyperlink ref="A23" location="'Email Drafts'!A1" display="Email Drafts"/>
    <hyperlink ref="A24" location="'Contact Log'!A1" display="Contact Log"/>
    <hyperlink ref="A25" location="'Pilot Costing'!A1" display="Pilot Costing"/>
    <hyperlink ref="A26" location="'Sources'!A1" display="Sources"/>
  </hyperlinks>
  <pageMargins left="0.7" right="0.7" top="0.75" bottom="0.75" header="0.3" footer="0.3"/>
  <pageSetup paperSize="9" fitToHeight="0" orientation="landscape"/>
  <headerFooter>
    <oddFooter>&amp;LPoranki dehydrated fruit research &amp;RPage &amp;P of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Z55"/>
  <sheetViews>
    <sheetView showGridLines="0" workbookViewId="0">
      <pane xSplit="3" ySplit="5" topLeftCell="D6" activePane="bottomRight" state="frozen"/>
      <selection pane="topRight" activeCell="D1" sqref="D1"/>
      <selection pane="bottomLeft" activeCell="A6" sqref="A6"/>
      <selection pane="bottomRight"/>
    </sheetView>
  </sheetViews>
  <sheetFormatPr defaultRowHeight="15"/>
  <cols>
    <col min="1" max="2" width="11.7109375" style="1" customWidth="1"/>
    <col min="3" max="3" width="39.7109375" style="1" customWidth="1"/>
    <col min="4" max="4" width="25.7109375" style="1" customWidth="1"/>
    <col min="5" max="5" width="23.7109375" style="1" customWidth="1"/>
    <col min="6" max="6" width="17.7109375" style="1" customWidth="1"/>
    <col min="7" max="7" width="31.7109375" style="1" customWidth="1"/>
    <col min="8" max="8" width="42.7109375" style="1" customWidth="1"/>
    <col min="9" max="9" width="39.7109375" style="1" customWidth="1"/>
    <col min="10" max="10" width="37.7109375" style="1" customWidth="1"/>
    <col min="11" max="11" width="53.7109375" style="1" customWidth="1"/>
    <col min="12" max="12" width="33.7109375" style="1" customWidth="1"/>
    <col min="13" max="13" width="60.7109375" style="1" customWidth="1"/>
    <col min="14" max="14" width="19.7109375" style="1" customWidth="1"/>
    <col min="15" max="15" width="43.7109375" style="1" customWidth="1"/>
    <col min="16" max="16" width="61.7109375" style="1" customWidth="1"/>
    <col min="17" max="17" width="32.7109375" style="1" customWidth="1"/>
    <col min="18" max="18" width="70.7109375" style="1" customWidth="1"/>
    <col min="19" max="19" width="25.7109375" style="1" customWidth="1"/>
    <col min="20" max="20" width="80.7109375" style="1" customWidth="1"/>
    <col min="21" max="21" width="70.7109375" style="1" customWidth="1"/>
    <col min="22" max="22" width="65.7109375" style="1" customWidth="1"/>
    <col min="23" max="23" width="18.7109375" style="1" customWidth="1"/>
    <col min="24" max="24" width="37.7109375" style="1" customWidth="1"/>
    <col min="25" max="25" width="38.7109375" style="1" customWidth="1"/>
    <col min="26" max="26" width="23.7109375" style="1" customWidth="1"/>
  </cols>
  <sheetData>
    <row r="1" spans="1:26" ht="33.75" customHeight="1">
      <c r="A1" s="2" t="s">
        <v>36</v>
      </c>
      <c r="B1" s="2"/>
      <c r="C1" s="2"/>
      <c r="D1" s="2"/>
      <c r="E1" s="2"/>
      <c r="F1" s="2"/>
      <c r="G1" s="2"/>
      <c r="H1" s="2"/>
      <c r="I1" s="2"/>
      <c r="J1" s="2"/>
      <c r="K1" s="2"/>
      <c r="L1" s="2"/>
      <c r="M1" s="2"/>
      <c r="N1" s="2"/>
      <c r="O1" s="2"/>
      <c r="P1" s="2"/>
      <c r="Q1" s="2"/>
      <c r="R1" s="2"/>
      <c r="S1" s="2"/>
      <c r="T1" s="2"/>
      <c r="U1" s="2"/>
      <c r="V1" s="2"/>
      <c r="W1" s="2"/>
      <c r="X1" s="2"/>
      <c r="Y1" s="2"/>
      <c r="Z1" s="2"/>
    </row>
    <row r="2" spans="1:26" ht="24" customHeight="1">
      <c r="A2" s="3" t="s">
        <v>37</v>
      </c>
      <c r="B2" s="3"/>
      <c r="C2" s="3"/>
      <c r="D2" s="3"/>
      <c r="E2" s="3"/>
      <c r="F2" s="3"/>
      <c r="G2" s="3"/>
      <c r="H2" s="3"/>
      <c r="I2" s="3"/>
      <c r="J2" s="3"/>
      <c r="K2" s="3"/>
      <c r="L2" s="3"/>
      <c r="M2" s="3"/>
      <c r="N2" s="3"/>
      <c r="O2" s="3"/>
      <c r="P2" s="3"/>
      <c r="Q2" s="3"/>
      <c r="R2" s="3"/>
      <c r="S2" s="3"/>
      <c r="T2" s="3"/>
      <c r="U2" s="3"/>
      <c r="V2" s="3"/>
      <c r="W2" s="3"/>
      <c r="X2" s="3"/>
      <c r="Y2" s="3"/>
      <c r="Z2" s="3"/>
    </row>
    <row r="3" spans="1:26" ht="24" customHeight="1">
      <c r="A3" s="3"/>
      <c r="B3" s="3"/>
      <c r="C3" s="3"/>
      <c r="D3" s="3"/>
      <c r="E3" s="3"/>
      <c r="F3" s="3"/>
      <c r="G3" s="3"/>
      <c r="H3" s="3"/>
      <c r="I3" s="3"/>
      <c r="J3" s="3"/>
      <c r="K3" s="3"/>
      <c r="L3" s="3"/>
      <c r="M3" s="3"/>
      <c r="N3" s="3"/>
      <c r="O3" s="3"/>
      <c r="P3" s="3"/>
      <c r="Q3" s="3"/>
      <c r="R3" s="3"/>
      <c r="S3" s="3"/>
      <c r="T3" s="3"/>
      <c r="U3" s="3"/>
      <c r="V3" s="3"/>
      <c r="W3" s="3"/>
      <c r="X3" s="3"/>
      <c r="Y3" s="3"/>
      <c r="Z3" s="3"/>
    </row>
    <row r="5" spans="1:26" ht="32.25" customHeight="1">
      <c r="A5" s="6" t="s">
        <v>38</v>
      </c>
      <c r="B5" s="6" t="s">
        <v>39</v>
      </c>
      <c r="C5" s="6" t="s">
        <v>40</v>
      </c>
      <c r="D5" s="6" t="s">
        <v>41</v>
      </c>
      <c r="E5" s="6" t="s">
        <v>42</v>
      </c>
      <c r="F5" s="6" t="s">
        <v>43</v>
      </c>
      <c r="G5" s="6" t="s">
        <v>44</v>
      </c>
      <c r="H5" s="6" t="s">
        <v>45</v>
      </c>
      <c r="I5" s="6" t="s">
        <v>46</v>
      </c>
      <c r="J5" s="6" t="s">
        <v>47</v>
      </c>
      <c r="K5" s="6" t="s">
        <v>48</v>
      </c>
      <c r="L5" s="6" t="s">
        <v>49</v>
      </c>
      <c r="M5" s="6" t="s">
        <v>50</v>
      </c>
      <c r="N5" s="6" t="s">
        <v>51</v>
      </c>
      <c r="O5" s="6" t="s">
        <v>52</v>
      </c>
      <c r="P5" s="6" t="s">
        <v>53</v>
      </c>
      <c r="Q5" s="6" t="s">
        <v>54</v>
      </c>
      <c r="R5" s="6" t="s">
        <v>55</v>
      </c>
      <c r="S5" s="6" t="s">
        <v>56</v>
      </c>
      <c r="T5" s="6" t="s">
        <v>57</v>
      </c>
      <c r="U5" s="6" t="s">
        <v>58</v>
      </c>
      <c r="V5" s="6" t="s">
        <v>59</v>
      </c>
      <c r="W5" s="6" t="s">
        <v>60</v>
      </c>
      <c r="X5" s="6" t="s">
        <v>61</v>
      </c>
      <c r="Y5" s="6" t="s">
        <v>62</v>
      </c>
      <c r="Z5" s="6" t="s">
        <v>63</v>
      </c>
    </row>
    <row r="6" spans="1:26" ht="99.75" customHeight="1">
      <c r="A6" s="1" t="s">
        <v>64</v>
      </c>
      <c r="B6" s="1" t="s">
        <v>65</v>
      </c>
      <c r="C6" s="1" t="s">
        <v>66</v>
      </c>
      <c r="D6" s="1" t="s">
        <v>67</v>
      </c>
      <c r="E6" s="1" t="s">
        <v>68</v>
      </c>
      <c r="F6" s="1" t="s">
        <v>69</v>
      </c>
      <c r="G6" s="1" t="s">
        <v>70</v>
      </c>
      <c r="H6" s="1" t="s">
        <v>71</v>
      </c>
      <c r="I6" s="1" t="s">
        <v>72</v>
      </c>
      <c r="J6" s="1" t="s">
        <v>73</v>
      </c>
      <c r="K6" s="1" t="s">
        <v>74</v>
      </c>
      <c r="L6" s="1" t="s">
        <v>75</v>
      </c>
      <c r="M6" s="1" t="s">
        <v>76</v>
      </c>
      <c r="N6" s="1" t="s">
        <v>77</v>
      </c>
      <c r="O6" s="1" t="s">
        <v>72</v>
      </c>
      <c r="P6" s="1" t="s">
        <v>78</v>
      </c>
      <c r="Q6" s="1" t="s">
        <v>79</v>
      </c>
      <c r="R6" s="1" t="s">
        <v>80</v>
      </c>
      <c r="S6" s="1" t="s">
        <v>81</v>
      </c>
      <c r="T6" s="1" t="s">
        <v>82</v>
      </c>
      <c r="U6" s="1" t="s">
        <v>83</v>
      </c>
      <c r="V6" s="5" t="s">
        <v>84</v>
      </c>
      <c r="W6" s="1" t="s">
        <v>85</v>
      </c>
      <c r="X6" s="1" t="s">
        <v>86</v>
      </c>
      <c r="Y6" s="1" t="s">
        <v>87</v>
      </c>
      <c r="Z6" s="1" t="s">
        <v>88</v>
      </c>
    </row>
    <row r="7" spans="1:26" ht="99.75" customHeight="1">
      <c r="A7" s="1" t="s">
        <v>89</v>
      </c>
      <c r="B7" s="1" t="s">
        <v>65</v>
      </c>
      <c r="C7" s="1" t="s">
        <v>90</v>
      </c>
      <c r="D7" s="1" t="s">
        <v>91</v>
      </c>
      <c r="E7" s="1" t="s">
        <v>68</v>
      </c>
      <c r="F7" s="1" t="s">
        <v>69</v>
      </c>
      <c r="G7" s="1" t="s">
        <v>92</v>
      </c>
      <c r="H7" s="1" t="s">
        <v>93</v>
      </c>
      <c r="I7" s="1" t="s">
        <v>72</v>
      </c>
      <c r="J7" s="1" t="s">
        <v>94</v>
      </c>
      <c r="K7" s="1" t="s">
        <v>74</v>
      </c>
      <c r="L7" s="1" t="s">
        <v>95</v>
      </c>
      <c r="M7" s="1" t="s">
        <v>96</v>
      </c>
      <c r="N7" s="1" t="s">
        <v>77</v>
      </c>
      <c r="O7" s="1" t="s">
        <v>72</v>
      </c>
      <c r="P7" s="1" t="s">
        <v>97</v>
      </c>
      <c r="Q7" s="1" t="s">
        <v>79</v>
      </c>
      <c r="R7" s="1" t="s">
        <v>98</v>
      </c>
      <c r="S7" s="1" t="s">
        <v>81</v>
      </c>
      <c r="T7" s="1" t="s">
        <v>99</v>
      </c>
      <c r="U7" s="1" t="s">
        <v>100</v>
      </c>
      <c r="V7" s="5" t="s">
        <v>101</v>
      </c>
      <c r="W7" s="1" t="s">
        <v>85</v>
      </c>
      <c r="X7" s="1" t="s">
        <v>102</v>
      </c>
      <c r="Y7" s="1" t="s">
        <v>87</v>
      </c>
      <c r="Z7" s="1" t="s">
        <v>88</v>
      </c>
    </row>
    <row r="8" spans="1:26" ht="99.75" customHeight="1">
      <c r="A8" s="1" t="s">
        <v>103</v>
      </c>
      <c r="B8" s="1" t="s">
        <v>65</v>
      </c>
      <c r="C8" s="1" t="s">
        <v>104</v>
      </c>
      <c r="D8" s="1" t="s">
        <v>105</v>
      </c>
      <c r="E8" s="1" t="s">
        <v>68</v>
      </c>
      <c r="F8" s="1" t="s">
        <v>69</v>
      </c>
      <c r="G8" s="1" t="s">
        <v>106</v>
      </c>
      <c r="H8" s="1" t="s">
        <v>107</v>
      </c>
      <c r="I8" s="1" t="s">
        <v>72</v>
      </c>
      <c r="J8" s="1" t="s">
        <v>108</v>
      </c>
      <c r="K8" s="1" t="s">
        <v>74</v>
      </c>
      <c r="L8" s="1" t="s">
        <v>95</v>
      </c>
      <c r="M8" s="1" t="s">
        <v>109</v>
      </c>
      <c r="N8" s="1" t="s">
        <v>77</v>
      </c>
      <c r="O8" s="5" t="s">
        <v>110</v>
      </c>
      <c r="P8" s="1" t="s">
        <v>111</v>
      </c>
      <c r="Q8" s="1" t="s">
        <v>112</v>
      </c>
      <c r="R8" s="1" t="s">
        <v>113</v>
      </c>
      <c r="S8" s="1" t="s">
        <v>81</v>
      </c>
      <c r="T8" s="1" t="s">
        <v>114</v>
      </c>
      <c r="U8" s="1" t="s">
        <v>115</v>
      </c>
      <c r="V8" s="5" t="s">
        <v>116</v>
      </c>
      <c r="W8" s="1" t="s">
        <v>85</v>
      </c>
      <c r="X8" s="1" t="s">
        <v>102</v>
      </c>
      <c r="Y8" s="1" t="s">
        <v>87</v>
      </c>
      <c r="Z8" s="1" t="s">
        <v>88</v>
      </c>
    </row>
    <row r="9" spans="1:26" ht="99.75" customHeight="1">
      <c r="A9" s="1" t="s">
        <v>117</v>
      </c>
      <c r="B9" s="1" t="s">
        <v>65</v>
      </c>
      <c r="C9" s="1" t="s">
        <v>118</v>
      </c>
      <c r="D9" s="1" t="s">
        <v>119</v>
      </c>
      <c r="E9" s="1" t="s">
        <v>68</v>
      </c>
      <c r="F9" s="1" t="s">
        <v>69</v>
      </c>
      <c r="G9" s="1" t="s">
        <v>106</v>
      </c>
      <c r="H9" s="1" t="s">
        <v>120</v>
      </c>
      <c r="I9" s="1" t="s">
        <v>72</v>
      </c>
      <c r="J9" s="1" t="s">
        <v>121</v>
      </c>
      <c r="K9" s="1" t="s">
        <v>74</v>
      </c>
      <c r="L9" s="1" t="s">
        <v>122</v>
      </c>
      <c r="M9" s="1" t="s">
        <v>123</v>
      </c>
      <c r="N9" s="1" t="s">
        <v>77</v>
      </c>
      <c r="O9" s="1" t="s">
        <v>72</v>
      </c>
      <c r="P9" s="1" t="s">
        <v>124</v>
      </c>
      <c r="Q9" s="1" t="s">
        <v>79</v>
      </c>
      <c r="R9" s="1" t="s">
        <v>125</v>
      </c>
      <c r="S9" s="1" t="s">
        <v>81</v>
      </c>
      <c r="T9" s="1" t="s">
        <v>126</v>
      </c>
      <c r="U9" s="1" t="s">
        <v>127</v>
      </c>
      <c r="V9" s="5" t="s">
        <v>128</v>
      </c>
      <c r="W9" s="1" t="s">
        <v>85</v>
      </c>
      <c r="X9" s="1" t="s">
        <v>129</v>
      </c>
      <c r="Y9" s="1" t="s">
        <v>87</v>
      </c>
      <c r="Z9" s="1" t="s">
        <v>88</v>
      </c>
    </row>
    <row r="10" spans="1:26" ht="99.75" customHeight="1">
      <c r="A10" s="1" t="s">
        <v>130</v>
      </c>
      <c r="B10" s="1" t="s">
        <v>131</v>
      </c>
      <c r="C10" s="1" t="s">
        <v>132</v>
      </c>
      <c r="D10" s="1" t="s">
        <v>91</v>
      </c>
      <c r="E10" s="1" t="s">
        <v>68</v>
      </c>
      <c r="F10" s="1" t="s">
        <v>69</v>
      </c>
      <c r="G10" s="1" t="s">
        <v>133</v>
      </c>
      <c r="H10" s="1" t="s">
        <v>134</v>
      </c>
      <c r="I10" s="1" t="s">
        <v>72</v>
      </c>
      <c r="J10" s="1" t="s">
        <v>135</v>
      </c>
      <c r="K10" s="1" t="s">
        <v>136</v>
      </c>
      <c r="L10" s="1" t="s">
        <v>137</v>
      </c>
      <c r="M10" s="1" t="s">
        <v>138</v>
      </c>
      <c r="N10" s="1" t="s">
        <v>77</v>
      </c>
      <c r="O10" s="1" t="s">
        <v>72</v>
      </c>
      <c r="P10" s="1" t="s">
        <v>139</v>
      </c>
      <c r="Q10" s="1" t="s">
        <v>79</v>
      </c>
      <c r="R10" s="1" t="s">
        <v>140</v>
      </c>
      <c r="S10" s="1" t="s">
        <v>81</v>
      </c>
      <c r="T10" s="1" t="s">
        <v>141</v>
      </c>
      <c r="U10" s="1" t="s">
        <v>142</v>
      </c>
      <c r="V10" s="5" t="s">
        <v>143</v>
      </c>
      <c r="W10" s="1" t="s">
        <v>85</v>
      </c>
      <c r="X10" s="1" t="s">
        <v>102</v>
      </c>
      <c r="Y10" s="1" t="s">
        <v>87</v>
      </c>
      <c r="Z10" s="1" t="s">
        <v>88</v>
      </c>
    </row>
    <row r="11" spans="1:26" ht="99.75" customHeight="1">
      <c r="A11" s="1" t="s">
        <v>144</v>
      </c>
      <c r="B11" s="1" t="s">
        <v>145</v>
      </c>
      <c r="C11" s="1" t="s">
        <v>146</v>
      </c>
      <c r="D11" s="1" t="s">
        <v>91</v>
      </c>
      <c r="E11" s="1" t="s">
        <v>68</v>
      </c>
      <c r="F11" s="1" t="s">
        <v>69</v>
      </c>
      <c r="G11" s="1" t="s">
        <v>147</v>
      </c>
      <c r="H11" s="1" t="s">
        <v>148</v>
      </c>
      <c r="I11" s="1" t="s">
        <v>72</v>
      </c>
      <c r="J11" s="1" t="s">
        <v>149</v>
      </c>
      <c r="K11" s="1" t="s">
        <v>150</v>
      </c>
      <c r="L11" s="1" t="s">
        <v>151</v>
      </c>
      <c r="M11" s="1" t="s">
        <v>152</v>
      </c>
      <c r="N11" s="1" t="s">
        <v>77</v>
      </c>
      <c r="O11" s="5" t="s">
        <v>153</v>
      </c>
      <c r="P11" s="1" t="s">
        <v>154</v>
      </c>
      <c r="Q11" s="1" t="s">
        <v>79</v>
      </c>
      <c r="R11" s="1" t="s">
        <v>155</v>
      </c>
      <c r="S11" s="1" t="s">
        <v>156</v>
      </c>
      <c r="T11" s="1" t="s">
        <v>157</v>
      </c>
      <c r="U11" s="1" t="s">
        <v>153</v>
      </c>
      <c r="V11" s="5" t="s">
        <v>158</v>
      </c>
      <c r="W11" s="1" t="s">
        <v>85</v>
      </c>
      <c r="X11" s="1" t="s">
        <v>159</v>
      </c>
      <c r="Y11" s="1" t="s">
        <v>87</v>
      </c>
      <c r="Z11" s="1" t="s">
        <v>88</v>
      </c>
    </row>
    <row r="12" spans="1:26" ht="99.75" customHeight="1">
      <c r="A12" s="1" t="s">
        <v>160</v>
      </c>
      <c r="B12" s="1" t="s">
        <v>65</v>
      </c>
      <c r="C12" s="1" t="s">
        <v>161</v>
      </c>
      <c r="D12" s="1" t="s">
        <v>162</v>
      </c>
      <c r="E12" s="1" t="s">
        <v>163</v>
      </c>
      <c r="F12" s="1" t="s">
        <v>69</v>
      </c>
      <c r="G12" s="1" t="s">
        <v>164</v>
      </c>
      <c r="H12" s="1" t="s">
        <v>165</v>
      </c>
      <c r="I12" s="1" t="s">
        <v>166</v>
      </c>
      <c r="J12" s="1" t="s">
        <v>167</v>
      </c>
      <c r="K12" s="1" t="s">
        <v>168</v>
      </c>
      <c r="L12" s="1" t="s">
        <v>169</v>
      </c>
      <c r="M12" s="1" t="s">
        <v>170</v>
      </c>
      <c r="N12" s="1" t="s">
        <v>77</v>
      </c>
      <c r="O12" s="5" t="s">
        <v>171</v>
      </c>
      <c r="P12" s="1" t="s">
        <v>172</v>
      </c>
      <c r="Q12" s="1" t="s">
        <v>79</v>
      </c>
      <c r="R12" s="1" t="s">
        <v>173</v>
      </c>
      <c r="S12" s="1" t="s">
        <v>156</v>
      </c>
      <c r="T12" s="1" t="s">
        <v>174</v>
      </c>
      <c r="U12" s="1" t="s">
        <v>175</v>
      </c>
      <c r="V12" s="5" t="s">
        <v>176</v>
      </c>
      <c r="W12" s="1" t="s">
        <v>85</v>
      </c>
      <c r="X12" s="1" t="s">
        <v>102</v>
      </c>
      <c r="Y12" s="1" t="s">
        <v>87</v>
      </c>
      <c r="Z12" s="1" t="s">
        <v>88</v>
      </c>
    </row>
    <row r="13" spans="1:26" ht="99.75" customHeight="1">
      <c r="A13" s="1" t="s">
        <v>177</v>
      </c>
      <c r="B13" s="1" t="s">
        <v>65</v>
      </c>
      <c r="C13" s="1" t="s">
        <v>178</v>
      </c>
      <c r="D13" s="1" t="s">
        <v>179</v>
      </c>
      <c r="E13" s="1" t="s">
        <v>163</v>
      </c>
      <c r="F13" s="1" t="s">
        <v>69</v>
      </c>
      <c r="G13" s="1" t="s">
        <v>180</v>
      </c>
      <c r="H13" s="1" t="s">
        <v>71</v>
      </c>
      <c r="I13" s="1" t="s">
        <v>72</v>
      </c>
      <c r="J13" s="1" t="s">
        <v>181</v>
      </c>
      <c r="K13" s="1" t="s">
        <v>74</v>
      </c>
      <c r="L13" s="1" t="s">
        <v>182</v>
      </c>
      <c r="M13" s="1" t="s">
        <v>183</v>
      </c>
      <c r="N13" s="1" t="s">
        <v>77</v>
      </c>
      <c r="O13" s="1" t="s">
        <v>72</v>
      </c>
      <c r="P13" s="1" t="s">
        <v>184</v>
      </c>
      <c r="Q13" s="1" t="s">
        <v>112</v>
      </c>
      <c r="R13" s="1" t="s">
        <v>185</v>
      </c>
      <c r="S13" s="1" t="s">
        <v>81</v>
      </c>
      <c r="T13" s="1" t="s">
        <v>174</v>
      </c>
      <c r="U13" s="1" t="s">
        <v>186</v>
      </c>
      <c r="V13" s="5" t="s">
        <v>186</v>
      </c>
      <c r="W13" s="1" t="s">
        <v>85</v>
      </c>
      <c r="X13" s="1" t="s">
        <v>102</v>
      </c>
      <c r="Y13" s="1" t="s">
        <v>87</v>
      </c>
      <c r="Z13" s="1" t="s">
        <v>88</v>
      </c>
    </row>
    <row r="14" spans="1:26" ht="99.75" customHeight="1">
      <c r="A14" s="1" t="s">
        <v>187</v>
      </c>
      <c r="B14" s="1" t="s">
        <v>65</v>
      </c>
      <c r="C14" s="1" t="s">
        <v>188</v>
      </c>
      <c r="D14" s="1" t="s">
        <v>189</v>
      </c>
      <c r="E14" s="1" t="s">
        <v>163</v>
      </c>
      <c r="F14" s="1" t="s">
        <v>69</v>
      </c>
      <c r="G14" s="1" t="s">
        <v>190</v>
      </c>
      <c r="H14" s="1" t="s">
        <v>191</v>
      </c>
      <c r="I14" s="1" t="s">
        <v>72</v>
      </c>
      <c r="J14" s="1" t="s">
        <v>192</v>
      </c>
      <c r="K14" s="1" t="s">
        <v>74</v>
      </c>
      <c r="L14" s="1" t="s">
        <v>95</v>
      </c>
      <c r="M14" s="1" t="s">
        <v>193</v>
      </c>
      <c r="N14" s="1" t="s">
        <v>77</v>
      </c>
      <c r="O14" s="5" t="s">
        <v>194</v>
      </c>
      <c r="P14" s="1" t="s">
        <v>195</v>
      </c>
      <c r="Q14" s="1" t="s">
        <v>79</v>
      </c>
      <c r="R14" s="1" t="s">
        <v>196</v>
      </c>
      <c r="S14" s="1" t="s">
        <v>156</v>
      </c>
      <c r="T14" s="1" t="s">
        <v>197</v>
      </c>
      <c r="U14" s="1" t="s">
        <v>194</v>
      </c>
      <c r="V14" s="5" t="s">
        <v>194</v>
      </c>
      <c r="W14" s="1" t="s">
        <v>85</v>
      </c>
      <c r="X14" s="1" t="s">
        <v>102</v>
      </c>
      <c r="Y14" s="1" t="s">
        <v>87</v>
      </c>
      <c r="Z14" s="1" t="s">
        <v>88</v>
      </c>
    </row>
    <row r="15" spans="1:26" ht="99.75" customHeight="1">
      <c r="A15" s="1" t="s">
        <v>198</v>
      </c>
      <c r="B15" s="1" t="s">
        <v>65</v>
      </c>
      <c r="C15" s="1" t="s">
        <v>199</v>
      </c>
      <c r="D15" s="1" t="s">
        <v>179</v>
      </c>
      <c r="E15" s="1" t="s">
        <v>163</v>
      </c>
      <c r="F15" s="1" t="s">
        <v>69</v>
      </c>
      <c r="G15" s="1" t="s">
        <v>200</v>
      </c>
      <c r="H15" s="1" t="s">
        <v>71</v>
      </c>
      <c r="I15" s="1" t="s">
        <v>201</v>
      </c>
      <c r="J15" s="1" t="s">
        <v>202</v>
      </c>
      <c r="K15" s="1" t="s">
        <v>168</v>
      </c>
      <c r="L15" s="1" t="s">
        <v>203</v>
      </c>
      <c r="M15" s="1" t="s">
        <v>204</v>
      </c>
      <c r="N15" s="1" t="s">
        <v>77</v>
      </c>
      <c r="O15" s="5" t="s">
        <v>205</v>
      </c>
      <c r="P15" s="1" t="s">
        <v>206</v>
      </c>
      <c r="Q15" s="1" t="s">
        <v>79</v>
      </c>
      <c r="R15" s="1" t="s">
        <v>207</v>
      </c>
      <c r="S15" s="1" t="s">
        <v>156</v>
      </c>
      <c r="T15" s="1" t="s">
        <v>174</v>
      </c>
      <c r="U15" s="1" t="s">
        <v>205</v>
      </c>
      <c r="V15" s="5" t="s">
        <v>205</v>
      </c>
      <c r="W15" s="1" t="s">
        <v>85</v>
      </c>
      <c r="X15" s="1" t="s">
        <v>208</v>
      </c>
      <c r="Y15" s="1" t="s">
        <v>87</v>
      </c>
      <c r="Z15" s="1" t="s">
        <v>88</v>
      </c>
    </row>
    <row r="16" spans="1:26" ht="99.75" customHeight="1">
      <c r="A16" s="1" t="s">
        <v>209</v>
      </c>
      <c r="B16" s="1" t="s">
        <v>65</v>
      </c>
      <c r="C16" s="1" t="s">
        <v>210</v>
      </c>
      <c r="D16" s="1" t="s">
        <v>211</v>
      </c>
      <c r="E16" s="1" t="s">
        <v>163</v>
      </c>
      <c r="F16" s="1" t="s">
        <v>69</v>
      </c>
      <c r="G16" s="1" t="s">
        <v>212</v>
      </c>
      <c r="H16" s="1" t="s">
        <v>213</v>
      </c>
      <c r="I16" s="1" t="s">
        <v>72</v>
      </c>
      <c r="J16" s="1" t="s">
        <v>214</v>
      </c>
      <c r="K16" s="1" t="s">
        <v>136</v>
      </c>
      <c r="L16" s="1" t="s">
        <v>215</v>
      </c>
      <c r="M16" s="1" t="s">
        <v>216</v>
      </c>
      <c r="N16" s="1" t="s">
        <v>77</v>
      </c>
      <c r="O16" s="1" t="s">
        <v>72</v>
      </c>
      <c r="P16" s="1" t="s">
        <v>217</v>
      </c>
      <c r="Q16" s="1" t="s">
        <v>79</v>
      </c>
      <c r="R16" s="1" t="s">
        <v>218</v>
      </c>
      <c r="S16" s="1" t="s">
        <v>81</v>
      </c>
      <c r="T16" s="1" t="s">
        <v>219</v>
      </c>
      <c r="U16" s="1" t="s">
        <v>220</v>
      </c>
      <c r="V16" s="5" t="s">
        <v>221</v>
      </c>
      <c r="W16" s="1" t="s">
        <v>85</v>
      </c>
      <c r="X16" s="1" t="s">
        <v>102</v>
      </c>
      <c r="Y16" s="1" t="s">
        <v>87</v>
      </c>
      <c r="Z16" s="1" t="s">
        <v>88</v>
      </c>
    </row>
    <row r="17" spans="1:26" ht="99.75" customHeight="1">
      <c r="A17" s="1" t="s">
        <v>222</v>
      </c>
      <c r="B17" s="1" t="s">
        <v>65</v>
      </c>
      <c r="C17" s="1" t="s">
        <v>223</v>
      </c>
      <c r="D17" s="1" t="s">
        <v>179</v>
      </c>
      <c r="E17" s="1" t="s">
        <v>163</v>
      </c>
      <c r="F17" s="1" t="s">
        <v>69</v>
      </c>
      <c r="G17" s="1" t="s">
        <v>224</v>
      </c>
      <c r="H17" s="1" t="s">
        <v>71</v>
      </c>
      <c r="I17" s="1" t="s">
        <v>225</v>
      </c>
      <c r="J17" s="1" t="s">
        <v>226</v>
      </c>
      <c r="K17" s="1" t="s">
        <v>168</v>
      </c>
      <c r="L17" s="1" t="s">
        <v>227</v>
      </c>
      <c r="M17" s="1" t="s">
        <v>228</v>
      </c>
      <c r="N17" s="1" t="s">
        <v>77</v>
      </c>
      <c r="O17" s="1" t="s">
        <v>72</v>
      </c>
      <c r="P17" s="1" t="s">
        <v>229</v>
      </c>
      <c r="Q17" s="1" t="s">
        <v>79</v>
      </c>
      <c r="R17" s="1" t="s">
        <v>230</v>
      </c>
      <c r="S17" s="1" t="s">
        <v>81</v>
      </c>
      <c r="T17" s="1" t="s">
        <v>231</v>
      </c>
      <c r="U17" s="1" t="s">
        <v>232</v>
      </c>
      <c r="V17" s="5" t="s">
        <v>233</v>
      </c>
      <c r="W17" s="1" t="s">
        <v>85</v>
      </c>
      <c r="X17" s="1" t="s">
        <v>102</v>
      </c>
      <c r="Y17" s="1" t="s">
        <v>87</v>
      </c>
      <c r="Z17" s="1" t="s">
        <v>88</v>
      </c>
    </row>
    <row r="18" spans="1:26" ht="99.75" customHeight="1">
      <c r="A18" s="1" t="s">
        <v>234</v>
      </c>
      <c r="B18" s="1" t="s">
        <v>65</v>
      </c>
      <c r="C18" s="1" t="s">
        <v>235</v>
      </c>
      <c r="D18" s="1" t="s">
        <v>236</v>
      </c>
      <c r="E18" s="1" t="s">
        <v>163</v>
      </c>
      <c r="F18" s="1" t="s">
        <v>69</v>
      </c>
      <c r="G18" s="1" t="s">
        <v>164</v>
      </c>
      <c r="H18" s="1" t="s">
        <v>237</v>
      </c>
      <c r="I18" s="1" t="s">
        <v>238</v>
      </c>
      <c r="J18" s="1" t="s">
        <v>239</v>
      </c>
      <c r="K18" s="1" t="s">
        <v>168</v>
      </c>
      <c r="L18" s="1" t="s">
        <v>95</v>
      </c>
      <c r="M18" s="1" t="s">
        <v>240</v>
      </c>
      <c r="N18" s="1" t="s">
        <v>77</v>
      </c>
      <c r="O18" s="1" t="s">
        <v>72</v>
      </c>
      <c r="P18" s="1" t="s">
        <v>241</v>
      </c>
      <c r="Q18" s="1" t="s">
        <v>79</v>
      </c>
      <c r="R18" s="1" t="s">
        <v>242</v>
      </c>
      <c r="S18" s="1" t="s">
        <v>81</v>
      </c>
      <c r="T18" s="1" t="s">
        <v>243</v>
      </c>
      <c r="U18" s="1" t="s">
        <v>244</v>
      </c>
      <c r="V18" s="5" t="s">
        <v>245</v>
      </c>
      <c r="W18" s="1" t="s">
        <v>85</v>
      </c>
      <c r="X18" s="1" t="s">
        <v>102</v>
      </c>
      <c r="Y18" s="1" t="s">
        <v>87</v>
      </c>
      <c r="Z18" s="1" t="s">
        <v>88</v>
      </c>
    </row>
    <row r="19" spans="1:26" ht="99.75" customHeight="1">
      <c r="A19" s="1" t="s">
        <v>246</v>
      </c>
      <c r="B19" s="1" t="s">
        <v>65</v>
      </c>
      <c r="C19" s="1" t="s">
        <v>247</v>
      </c>
      <c r="D19" s="1" t="s">
        <v>248</v>
      </c>
      <c r="E19" s="1" t="s">
        <v>163</v>
      </c>
      <c r="F19" s="1" t="s">
        <v>69</v>
      </c>
      <c r="G19" s="1" t="s">
        <v>249</v>
      </c>
      <c r="H19" s="1" t="s">
        <v>71</v>
      </c>
      <c r="I19" s="1" t="s">
        <v>250</v>
      </c>
      <c r="J19" s="1" t="s">
        <v>251</v>
      </c>
      <c r="K19" s="1" t="s">
        <v>168</v>
      </c>
      <c r="L19" s="1" t="s">
        <v>252</v>
      </c>
      <c r="M19" s="1" t="s">
        <v>253</v>
      </c>
      <c r="N19" s="1" t="s">
        <v>77</v>
      </c>
      <c r="O19" s="5" t="s">
        <v>254</v>
      </c>
      <c r="P19" s="1" t="s">
        <v>255</v>
      </c>
      <c r="Q19" s="1" t="s">
        <v>79</v>
      </c>
      <c r="R19" s="1" t="s">
        <v>256</v>
      </c>
      <c r="S19" s="1" t="s">
        <v>156</v>
      </c>
      <c r="T19" s="1" t="s">
        <v>174</v>
      </c>
      <c r="U19" s="1" t="s">
        <v>254</v>
      </c>
      <c r="V19" s="5" t="s">
        <v>254</v>
      </c>
      <c r="W19" s="1" t="s">
        <v>85</v>
      </c>
      <c r="X19" s="1" t="s">
        <v>102</v>
      </c>
      <c r="Y19" s="1" t="s">
        <v>87</v>
      </c>
      <c r="Z19" s="1" t="s">
        <v>88</v>
      </c>
    </row>
    <row r="20" spans="1:26" ht="99.75" customHeight="1">
      <c r="A20" s="1" t="s">
        <v>257</v>
      </c>
      <c r="B20" s="1" t="s">
        <v>131</v>
      </c>
      <c r="C20" s="1" t="s">
        <v>258</v>
      </c>
      <c r="D20" s="1" t="s">
        <v>236</v>
      </c>
      <c r="E20" s="1" t="s">
        <v>163</v>
      </c>
      <c r="F20" s="1" t="s">
        <v>69</v>
      </c>
      <c r="G20" s="1" t="s">
        <v>259</v>
      </c>
      <c r="H20" s="1" t="s">
        <v>260</v>
      </c>
      <c r="I20" s="1" t="s">
        <v>261</v>
      </c>
      <c r="J20" s="1" t="s">
        <v>262</v>
      </c>
      <c r="K20" s="1" t="s">
        <v>168</v>
      </c>
      <c r="L20" s="1" t="s">
        <v>95</v>
      </c>
      <c r="M20" s="1" t="s">
        <v>263</v>
      </c>
      <c r="N20" s="1" t="s">
        <v>77</v>
      </c>
      <c r="O20" s="1" t="s">
        <v>72</v>
      </c>
      <c r="P20" s="1" t="s">
        <v>241</v>
      </c>
      <c r="Q20" s="1" t="s">
        <v>79</v>
      </c>
      <c r="R20" s="1" t="s">
        <v>264</v>
      </c>
      <c r="S20" s="1" t="s">
        <v>81</v>
      </c>
      <c r="T20" s="1" t="s">
        <v>265</v>
      </c>
      <c r="U20" s="1" t="s">
        <v>266</v>
      </c>
      <c r="V20" s="5" t="s">
        <v>267</v>
      </c>
      <c r="W20" s="1" t="s">
        <v>85</v>
      </c>
      <c r="X20" s="1" t="s">
        <v>102</v>
      </c>
      <c r="Y20" s="1" t="s">
        <v>87</v>
      </c>
      <c r="Z20" s="1" t="s">
        <v>88</v>
      </c>
    </row>
    <row r="21" spans="1:26" ht="99.75" customHeight="1">
      <c r="A21" s="1" t="s">
        <v>268</v>
      </c>
      <c r="B21" s="1" t="s">
        <v>131</v>
      </c>
      <c r="C21" s="1" t="s">
        <v>269</v>
      </c>
      <c r="D21" s="1" t="s">
        <v>236</v>
      </c>
      <c r="E21" s="1" t="s">
        <v>163</v>
      </c>
      <c r="F21" s="1" t="s">
        <v>69</v>
      </c>
      <c r="G21" s="1" t="s">
        <v>270</v>
      </c>
      <c r="H21" s="1" t="s">
        <v>271</v>
      </c>
      <c r="I21" s="1" t="s">
        <v>72</v>
      </c>
      <c r="J21" s="1" t="s">
        <v>272</v>
      </c>
      <c r="K21" s="1" t="s">
        <v>74</v>
      </c>
      <c r="L21" s="1" t="s">
        <v>95</v>
      </c>
      <c r="M21" s="1" t="s">
        <v>273</v>
      </c>
      <c r="N21" s="1" t="s">
        <v>77</v>
      </c>
      <c r="O21" s="1" t="s">
        <v>72</v>
      </c>
      <c r="P21" s="1" t="s">
        <v>274</v>
      </c>
      <c r="Q21" s="1" t="s">
        <v>112</v>
      </c>
      <c r="R21" s="1" t="s">
        <v>275</v>
      </c>
      <c r="S21" s="1" t="s">
        <v>81</v>
      </c>
      <c r="T21" s="1" t="s">
        <v>276</v>
      </c>
      <c r="U21" s="1" t="s">
        <v>277</v>
      </c>
      <c r="V21" s="5" t="s">
        <v>278</v>
      </c>
      <c r="W21" s="1" t="s">
        <v>85</v>
      </c>
      <c r="X21" s="1" t="s">
        <v>102</v>
      </c>
      <c r="Y21" s="1" t="s">
        <v>87</v>
      </c>
      <c r="Z21" s="1" t="s">
        <v>88</v>
      </c>
    </row>
    <row r="22" spans="1:26" ht="99.75" customHeight="1">
      <c r="A22" s="1" t="s">
        <v>279</v>
      </c>
      <c r="B22" s="1" t="s">
        <v>131</v>
      </c>
      <c r="C22" s="1" t="s">
        <v>280</v>
      </c>
      <c r="D22" s="1" t="s">
        <v>236</v>
      </c>
      <c r="E22" s="1" t="s">
        <v>163</v>
      </c>
      <c r="F22" s="1" t="s">
        <v>69</v>
      </c>
      <c r="G22" s="1" t="s">
        <v>164</v>
      </c>
      <c r="H22" s="1" t="s">
        <v>281</v>
      </c>
      <c r="I22" s="1" t="s">
        <v>282</v>
      </c>
      <c r="J22" s="1" t="s">
        <v>283</v>
      </c>
      <c r="K22" s="1" t="s">
        <v>168</v>
      </c>
      <c r="L22" s="1" t="s">
        <v>95</v>
      </c>
      <c r="M22" s="1" t="s">
        <v>284</v>
      </c>
      <c r="N22" s="1" t="s">
        <v>77</v>
      </c>
      <c r="O22" s="5" t="s">
        <v>285</v>
      </c>
      <c r="P22" s="1" t="s">
        <v>241</v>
      </c>
      <c r="Q22" s="1" t="s">
        <v>79</v>
      </c>
      <c r="R22" s="1" t="s">
        <v>286</v>
      </c>
      <c r="S22" s="1" t="s">
        <v>156</v>
      </c>
      <c r="T22" s="1" t="s">
        <v>287</v>
      </c>
      <c r="U22" s="1" t="s">
        <v>285</v>
      </c>
      <c r="V22" s="5" t="s">
        <v>288</v>
      </c>
      <c r="W22" s="1" t="s">
        <v>85</v>
      </c>
      <c r="X22" s="1" t="s">
        <v>102</v>
      </c>
      <c r="Y22" s="1" t="s">
        <v>87</v>
      </c>
      <c r="Z22" s="1" t="s">
        <v>88</v>
      </c>
    </row>
    <row r="23" spans="1:26" ht="99.75" customHeight="1">
      <c r="A23" s="1" t="s">
        <v>289</v>
      </c>
      <c r="B23" s="1" t="s">
        <v>131</v>
      </c>
      <c r="C23" s="1" t="s">
        <v>290</v>
      </c>
      <c r="D23" s="1" t="s">
        <v>291</v>
      </c>
      <c r="E23" s="1" t="s">
        <v>163</v>
      </c>
      <c r="F23" s="1" t="s">
        <v>69</v>
      </c>
      <c r="G23" s="1" t="s">
        <v>292</v>
      </c>
      <c r="H23" s="1" t="s">
        <v>293</v>
      </c>
      <c r="I23" s="1" t="s">
        <v>72</v>
      </c>
      <c r="J23" s="1" t="s">
        <v>294</v>
      </c>
      <c r="K23" s="1" t="s">
        <v>74</v>
      </c>
      <c r="L23" s="1" t="s">
        <v>95</v>
      </c>
      <c r="M23" s="1" t="s">
        <v>295</v>
      </c>
      <c r="N23" s="1" t="s">
        <v>77</v>
      </c>
      <c r="O23" s="1" t="s">
        <v>296</v>
      </c>
      <c r="P23" s="1" t="s">
        <v>241</v>
      </c>
      <c r="Q23" s="1" t="s">
        <v>79</v>
      </c>
      <c r="R23" s="1" t="s">
        <v>297</v>
      </c>
      <c r="S23" s="1" t="s">
        <v>81</v>
      </c>
      <c r="T23" s="1" t="s">
        <v>298</v>
      </c>
      <c r="U23" s="1" t="s">
        <v>299</v>
      </c>
      <c r="V23" s="5" t="s">
        <v>300</v>
      </c>
      <c r="W23" s="1" t="s">
        <v>85</v>
      </c>
      <c r="X23" s="1" t="s">
        <v>102</v>
      </c>
      <c r="Y23" s="1" t="s">
        <v>87</v>
      </c>
      <c r="Z23" s="1" t="s">
        <v>88</v>
      </c>
    </row>
    <row r="24" spans="1:26" ht="99.75" customHeight="1">
      <c r="A24" s="1" t="s">
        <v>301</v>
      </c>
      <c r="B24" s="1" t="s">
        <v>131</v>
      </c>
      <c r="C24" s="1" t="s">
        <v>302</v>
      </c>
      <c r="D24" s="1" t="s">
        <v>236</v>
      </c>
      <c r="E24" s="1" t="s">
        <v>163</v>
      </c>
      <c r="F24" s="1" t="s">
        <v>69</v>
      </c>
      <c r="G24" s="1" t="s">
        <v>303</v>
      </c>
      <c r="H24" s="1" t="s">
        <v>281</v>
      </c>
      <c r="I24" s="1" t="s">
        <v>72</v>
      </c>
      <c r="J24" s="1" t="s">
        <v>304</v>
      </c>
      <c r="K24" s="1" t="s">
        <v>74</v>
      </c>
      <c r="L24" s="1" t="s">
        <v>95</v>
      </c>
      <c r="M24" s="1" t="s">
        <v>305</v>
      </c>
      <c r="N24" s="1" t="s">
        <v>77</v>
      </c>
      <c r="O24" s="1" t="s">
        <v>72</v>
      </c>
      <c r="P24" s="1" t="s">
        <v>241</v>
      </c>
      <c r="Q24" s="1" t="s">
        <v>79</v>
      </c>
      <c r="R24" s="1" t="s">
        <v>306</v>
      </c>
      <c r="S24" s="1" t="s">
        <v>81</v>
      </c>
      <c r="T24" s="1" t="s">
        <v>307</v>
      </c>
      <c r="U24" s="1" t="s">
        <v>308</v>
      </c>
      <c r="V24" s="5" t="s">
        <v>309</v>
      </c>
      <c r="W24" s="1" t="s">
        <v>85</v>
      </c>
      <c r="X24" s="1" t="s">
        <v>102</v>
      </c>
      <c r="Y24" s="1" t="s">
        <v>87</v>
      </c>
      <c r="Z24" s="1" t="s">
        <v>88</v>
      </c>
    </row>
    <row r="25" spans="1:26" ht="99.75" customHeight="1">
      <c r="A25" s="1" t="s">
        <v>310</v>
      </c>
      <c r="B25" s="1" t="s">
        <v>131</v>
      </c>
      <c r="C25" s="1" t="s">
        <v>311</v>
      </c>
      <c r="D25" s="1" t="s">
        <v>236</v>
      </c>
      <c r="E25" s="1" t="s">
        <v>163</v>
      </c>
      <c r="F25" s="1" t="s">
        <v>69</v>
      </c>
      <c r="G25" s="1" t="s">
        <v>164</v>
      </c>
      <c r="H25" s="1" t="s">
        <v>281</v>
      </c>
      <c r="I25" s="1" t="s">
        <v>72</v>
      </c>
      <c r="J25" s="1" t="s">
        <v>312</v>
      </c>
      <c r="K25" s="1" t="s">
        <v>74</v>
      </c>
      <c r="L25" s="1" t="s">
        <v>95</v>
      </c>
      <c r="M25" s="1" t="s">
        <v>313</v>
      </c>
      <c r="N25" s="1" t="s">
        <v>77</v>
      </c>
      <c r="O25" s="1" t="s">
        <v>72</v>
      </c>
      <c r="P25" s="1" t="s">
        <v>241</v>
      </c>
      <c r="Q25" s="1" t="s">
        <v>79</v>
      </c>
      <c r="R25" s="1" t="s">
        <v>314</v>
      </c>
      <c r="S25" s="1" t="s">
        <v>81</v>
      </c>
      <c r="T25" s="1" t="s">
        <v>174</v>
      </c>
      <c r="U25" s="1" t="s">
        <v>315</v>
      </c>
      <c r="V25" s="5" t="s">
        <v>316</v>
      </c>
      <c r="W25" s="1" t="s">
        <v>85</v>
      </c>
      <c r="X25" s="1" t="s">
        <v>102</v>
      </c>
      <c r="Y25" s="1" t="s">
        <v>87</v>
      </c>
      <c r="Z25" s="1" t="s">
        <v>88</v>
      </c>
    </row>
    <row r="26" spans="1:26" ht="99.75" customHeight="1">
      <c r="A26" s="1" t="s">
        <v>317</v>
      </c>
      <c r="B26" s="1" t="s">
        <v>131</v>
      </c>
      <c r="C26" s="1" t="s">
        <v>318</v>
      </c>
      <c r="D26" s="1" t="s">
        <v>291</v>
      </c>
      <c r="E26" s="1" t="s">
        <v>163</v>
      </c>
      <c r="F26" s="1" t="s">
        <v>69</v>
      </c>
      <c r="G26" s="1" t="s">
        <v>319</v>
      </c>
      <c r="H26" s="1" t="s">
        <v>281</v>
      </c>
      <c r="I26" s="1" t="s">
        <v>320</v>
      </c>
      <c r="J26" s="1" t="s">
        <v>321</v>
      </c>
      <c r="K26" s="1" t="s">
        <v>168</v>
      </c>
      <c r="L26" s="1" t="s">
        <v>95</v>
      </c>
      <c r="M26" s="1" t="s">
        <v>322</v>
      </c>
      <c r="N26" s="1" t="s">
        <v>77</v>
      </c>
      <c r="O26" s="5" t="s">
        <v>323</v>
      </c>
      <c r="P26" s="1" t="s">
        <v>241</v>
      </c>
      <c r="Q26" s="1" t="s">
        <v>79</v>
      </c>
      <c r="R26" s="1" t="s">
        <v>324</v>
      </c>
      <c r="S26" s="1" t="s">
        <v>156</v>
      </c>
      <c r="T26" s="1" t="s">
        <v>174</v>
      </c>
      <c r="U26" s="1" t="s">
        <v>323</v>
      </c>
      <c r="V26" s="5" t="s">
        <v>323</v>
      </c>
      <c r="W26" s="1" t="s">
        <v>85</v>
      </c>
      <c r="X26" s="1" t="s">
        <v>102</v>
      </c>
      <c r="Y26" s="1" t="s">
        <v>87</v>
      </c>
      <c r="Z26" s="1" t="s">
        <v>88</v>
      </c>
    </row>
    <row r="27" spans="1:26" ht="99.75" customHeight="1">
      <c r="A27" s="1" t="s">
        <v>325</v>
      </c>
      <c r="B27" s="1" t="s">
        <v>131</v>
      </c>
      <c r="C27" s="1" t="s">
        <v>326</v>
      </c>
      <c r="D27" s="1" t="s">
        <v>327</v>
      </c>
      <c r="E27" s="1" t="s">
        <v>163</v>
      </c>
      <c r="F27" s="1" t="s">
        <v>69</v>
      </c>
      <c r="G27" s="1" t="s">
        <v>328</v>
      </c>
      <c r="H27" s="1" t="s">
        <v>329</v>
      </c>
      <c r="I27" s="1" t="s">
        <v>330</v>
      </c>
      <c r="J27" s="1" t="s">
        <v>331</v>
      </c>
      <c r="K27" s="1" t="s">
        <v>168</v>
      </c>
      <c r="L27" s="1" t="s">
        <v>332</v>
      </c>
      <c r="M27" s="1" t="s">
        <v>333</v>
      </c>
      <c r="N27" s="1" t="s">
        <v>77</v>
      </c>
      <c r="O27" s="5" t="s">
        <v>334</v>
      </c>
      <c r="P27" s="1" t="s">
        <v>335</v>
      </c>
      <c r="Q27" s="1" t="s">
        <v>79</v>
      </c>
      <c r="R27" s="1" t="s">
        <v>336</v>
      </c>
      <c r="S27" s="1" t="s">
        <v>156</v>
      </c>
      <c r="T27" s="1" t="s">
        <v>337</v>
      </c>
      <c r="U27" s="1" t="s">
        <v>334</v>
      </c>
      <c r="V27" s="5" t="s">
        <v>334</v>
      </c>
      <c r="W27" s="1" t="s">
        <v>85</v>
      </c>
      <c r="X27" s="1" t="s">
        <v>338</v>
      </c>
      <c r="Y27" s="1" t="s">
        <v>87</v>
      </c>
      <c r="Z27" s="1" t="s">
        <v>88</v>
      </c>
    </row>
    <row r="28" spans="1:26" ht="99.75" customHeight="1">
      <c r="A28" s="1" t="s">
        <v>339</v>
      </c>
      <c r="B28" s="1" t="s">
        <v>131</v>
      </c>
      <c r="C28" s="1" t="s">
        <v>340</v>
      </c>
      <c r="D28" s="1" t="s">
        <v>341</v>
      </c>
      <c r="E28" s="1" t="s">
        <v>163</v>
      </c>
      <c r="F28" s="1" t="s">
        <v>69</v>
      </c>
      <c r="G28" s="1" t="s">
        <v>342</v>
      </c>
      <c r="H28" s="1" t="s">
        <v>343</v>
      </c>
      <c r="I28" s="1" t="s">
        <v>344</v>
      </c>
      <c r="J28" s="1" t="s">
        <v>345</v>
      </c>
      <c r="K28" s="1" t="s">
        <v>346</v>
      </c>
      <c r="L28" s="1" t="s">
        <v>347</v>
      </c>
      <c r="M28" s="1" t="s">
        <v>348</v>
      </c>
      <c r="N28" s="1" t="s">
        <v>77</v>
      </c>
      <c r="O28" s="5" t="s">
        <v>349</v>
      </c>
      <c r="P28" s="1" t="s">
        <v>350</v>
      </c>
      <c r="Q28" s="1" t="s">
        <v>112</v>
      </c>
      <c r="R28" s="1" t="s">
        <v>351</v>
      </c>
      <c r="S28" s="1" t="s">
        <v>156</v>
      </c>
      <c r="T28" s="1" t="s">
        <v>352</v>
      </c>
      <c r="U28" s="1" t="s">
        <v>353</v>
      </c>
      <c r="V28" s="5" t="s">
        <v>353</v>
      </c>
      <c r="W28" s="1" t="s">
        <v>85</v>
      </c>
      <c r="X28" s="1" t="s">
        <v>102</v>
      </c>
      <c r="Y28" s="1" t="s">
        <v>87</v>
      </c>
      <c r="Z28" s="1" t="s">
        <v>88</v>
      </c>
    </row>
    <row r="29" spans="1:26" ht="99.75" customHeight="1">
      <c r="A29" s="1" t="s">
        <v>354</v>
      </c>
      <c r="B29" s="1" t="s">
        <v>131</v>
      </c>
      <c r="C29" s="1" t="s">
        <v>355</v>
      </c>
      <c r="D29" s="1" t="s">
        <v>356</v>
      </c>
      <c r="E29" s="1" t="s">
        <v>163</v>
      </c>
      <c r="F29" s="1" t="s">
        <v>69</v>
      </c>
      <c r="G29" s="1" t="s">
        <v>357</v>
      </c>
      <c r="H29" s="1" t="s">
        <v>358</v>
      </c>
      <c r="I29" s="1" t="s">
        <v>72</v>
      </c>
      <c r="J29" s="1" t="s">
        <v>359</v>
      </c>
      <c r="K29" s="1" t="s">
        <v>74</v>
      </c>
      <c r="L29" s="1" t="s">
        <v>360</v>
      </c>
      <c r="M29" s="1" t="s">
        <v>361</v>
      </c>
      <c r="N29" s="1" t="s">
        <v>77</v>
      </c>
      <c r="O29" s="5" t="s">
        <v>362</v>
      </c>
      <c r="P29" s="1" t="s">
        <v>363</v>
      </c>
      <c r="Q29" s="1" t="s">
        <v>79</v>
      </c>
      <c r="R29" s="1" t="s">
        <v>364</v>
      </c>
      <c r="S29" s="1" t="s">
        <v>156</v>
      </c>
      <c r="T29" s="1" t="s">
        <v>174</v>
      </c>
      <c r="U29" s="1" t="s">
        <v>362</v>
      </c>
      <c r="V29" s="5" t="s">
        <v>362</v>
      </c>
      <c r="W29" s="1" t="s">
        <v>85</v>
      </c>
      <c r="X29" s="1" t="s">
        <v>102</v>
      </c>
      <c r="Y29" s="1" t="s">
        <v>87</v>
      </c>
      <c r="Z29" s="1" t="s">
        <v>88</v>
      </c>
    </row>
    <row r="30" spans="1:26" ht="99.75" customHeight="1">
      <c r="A30" s="1" t="s">
        <v>365</v>
      </c>
      <c r="B30" s="1" t="s">
        <v>131</v>
      </c>
      <c r="C30" s="1" t="s">
        <v>366</v>
      </c>
      <c r="D30" s="1" t="s">
        <v>341</v>
      </c>
      <c r="E30" s="1" t="s">
        <v>163</v>
      </c>
      <c r="F30" s="1" t="s">
        <v>69</v>
      </c>
      <c r="G30" s="1" t="s">
        <v>180</v>
      </c>
      <c r="H30" s="1" t="s">
        <v>367</v>
      </c>
      <c r="I30" s="1" t="s">
        <v>368</v>
      </c>
      <c r="J30" s="1" t="s">
        <v>369</v>
      </c>
      <c r="K30" s="1" t="s">
        <v>370</v>
      </c>
      <c r="L30" s="1" t="s">
        <v>371</v>
      </c>
      <c r="M30" s="1" t="s">
        <v>372</v>
      </c>
      <c r="N30" s="1" t="s">
        <v>77</v>
      </c>
      <c r="O30" s="5" t="s">
        <v>373</v>
      </c>
      <c r="P30" s="1" t="s">
        <v>374</v>
      </c>
      <c r="Q30" s="1" t="s">
        <v>112</v>
      </c>
      <c r="R30" s="1" t="s">
        <v>375</v>
      </c>
      <c r="S30" s="1" t="s">
        <v>156</v>
      </c>
      <c r="T30" s="1" t="s">
        <v>376</v>
      </c>
      <c r="U30" s="1" t="s">
        <v>373</v>
      </c>
      <c r="V30" s="5" t="s">
        <v>373</v>
      </c>
      <c r="W30" s="1" t="s">
        <v>85</v>
      </c>
      <c r="X30" s="1" t="s">
        <v>377</v>
      </c>
      <c r="Y30" s="1" t="s">
        <v>87</v>
      </c>
      <c r="Z30" s="1" t="s">
        <v>88</v>
      </c>
    </row>
    <row r="31" spans="1:26" ht="99.75" customHeight="1">
      <c r="A31" s="1" t="s">
        <v>378</v>
      </c>
      <c r="B31" s="1" t="s">
        <v>131</v>
      </c>
      <c r="C31" s="1" t="s">
        <v>379</v>
      </c>
      <c r="D31" s="1" t="s">
        <v>380</v>
      </c>
      <c r="E31" s="1" t="s">
        <v>381</v>
      </c>
      <c r="F31" s="1" t="s">
        <v>5</v>
      </c>
      <c r="G31" s="1" t="s">
        <v>382</v>
      </c>
      <c r="H31" s="1" t="s">
        <v>383</v>
      </c>
      <c r="I31" s="1" t="s">
        <v>384</v>
      </c>
      <c r="J31" s="1" t="s">
        <v>385</v>
      </c>
      <c r="K31" s="1" t="s">
        <v>386</v>
      </c>
      <c r="L31" s="1" t="s">
        <v>227</v>
      </c>
      <c r="M31" s="1" t="s">
        <v>387</v>
      </c>
      <c r="N31" s="1" t="s">
        <v>388</v>
      </c>
      <c r="O31" s="5" t="s">
        <v>389</v>
      </c>
      <c r="P31" s="1" t="s">
        <v>390</v>
      </c>
      <c r="Q31" s="1" t="s">
        <v>79</v>
      </c>
      <c r="R31" s="1" t="s">
        <v>391</v>
      </c>
      <c r="S31" s="1" t="s">
        <v>156</v>
      </c>
      <c r="T31" s="1" t="s">
        <v>392</v>
      </c>
      <c r="U31" s="1" t="s">
        <v>393</v>
      </c>
      <c r="V31" s="5" t="s">
        <v>394</v>
      </c>
      <c r="W31" s="1" t="s">
        <v>85</v>
      </c>
      <c r="X31" s="1" t="s">
        <v>379</v>
      </c>
      <c r="Y31" s="1" t="s">
        <v>87</v>
      </c>
      <c r="Z31" s="1" t="s">
        <v>88</v>
      </c>
    </row>
    <row r="32" spans="1:26" ht="99.75" customHeight="1">
      <c r="A32" s="1" t="s">
        <v>395</v>
      </c>
      <c r="B32" s="1" t="s">
        <v>131</v>
      </c>
      <c r="C32" s="1" t="s">
        <v>396</v>
      </c>
      <c r="D32" s="1" t="s">
        <v>397</v>
      </c>
      <c r="E32" s="1" t="s">
        <v>381</v>
      </c>
      <c r="F32" s="1" t="s">
        <v>5</v>
      </c>
      <c r="G32" s="1" t="s">
        <v>382</v>
      </c>
      <c r="H32" s="1" t="s">
        <v>398</v>
      </c>
      <c r="I32" s="1" t="s">
        <v>399</v>
      </c>
      <c r="J32" s="1" t="s">
        <v>400</v>
      </c>
      <c r="K32" s="1" t="s">
        <v>401</v>
      </c>
      <c r="L32" s="1" t="s">
        <v>402</v>
      </c>
      <c r="M32" s="1" t="s">
        <v>403</v>
      </c>
      <c r="N32" s="1" t="s">
        <v>388</v>
      </c>
      <c r="O32" s="5" t="s">
        <v>404</v>
      </c>
      <c r="P32" s="1" t="s">
        <v>405</v>
      </c>
      <c r="Q32" s="1" t="s">
        <v>112</v>
      </c>
      <c r="R32" s="1" t="s">
        <v>406</v>
      </c>
      <c r="S32" s="1" t="s">
        <v>156</v>
      </c>
      <c r="T32" s="1" t="s">
        <v>407</v>
      </c>
      <c r="U32" s="1" t="s">
        <v>408</v>
      </c>
      <c r="V32" s="5" t="s">
        <v>408</v>
      </c>
      <c r="W32" s="1" t="s">
        <v>85</v>
      </c>
      <c r="X32" s="1" t="s">
        <v>409</v>
      </c>
      <c r="Y32" s="1" t="s">
        <v>87</v>
      </c>
      <c r="Z32" s="1" t="s">
        <v>88</v>
      </c>
    </row>
    <row r="33" spans="1:26" ht="99.75" customHeight="1">
      <c r="A33" s="1" t="s">
        <v>410</v>
      </c>
      <c r="B33" s="1" t="s">
        <v>131</v>
      </c>
      <c r="C33" s="1" t="s">
        <v>411</v>
      </c>
      <c r="D33" s="1" t="s">
        <v>412</v>
      </c>
      <c r="E33" s="1" t="s">
        <v>381</v>
      </c>
      <c r="F33" s="1" t="s">
        <v>5</v>
      </c>
      <c r="G33" s="1" t="s">
        <v>382</v>
      </c>
      <c r="H33" s="1" t="s">
        <v>413</v>
      </c>
      <c r="I33" s="1" t="s">
        <v>414</v>
      </c>
      <c r="J33" s="1" t="s">
        <v>415</v>
      </c>
      <c r="K33" s="1" t="s">
        <v>416</v>
      </c>
      <c r="L33" s="1" t="s">
        <v>417</v>
      </c>
      <c r="M33" s="1" t="s">
        <v>418</v>
      </c>
      <c r="N33" s="1" t="s">
        <v>388</v>
      </c>
      <c r="O33" s="5" t="s">
        <v>419</v>
      </c>
      <c r="P33" s="1" t="s">
        <v>420</v>
      </c>
      <c r="Q33" s="1" t="s">
        <v>79</v>
      </c>
      <c r="R33" s="1" t="s">
        <v>421</v>
      </c>
      <c r="S33" s="1" t="s">
        <v>156</v>
      </c>
      <c r="T33" s="1" t="s">
        <v>422</v>
      </c>
      <c r="U33" s="1" t="s">
        <v>423</v>
      </c>
      <c r="V33" s="5" t="s">
        <v>424</v>
      </c>
      <c r="W33" s="1" t="s">
        <v>85</v>
      </c>
      <c r="X33" s="1" t="s">
        <v>425</v>
      </c>
      <c r="Y33" s="1" t="s">
        <v>87</v>
      </c>
      <c r="Z33" s="1" t="s">
        <v>88</v>
      </c>
    </row>
    <row r="34" spans="1:26" ht="99.75" customHeight="1">
      <c r="A34" s="1" t="s">
        <v>426</v>
      </c>
      <c r="B34" s="1" t="s">
        <v>131</v>
      </c>
      <c r="C34" s="1" t="s">
        <v>427</v>
      </c>
      <c r="D34" s="1" t="s">
        <v>428</v>
      </c>
      <c r="E34" s="1" t="s">
        <v>381</v>
      </c>
      <c r="F34" s="1" t="s">
        <v>5</v>
      </c>
      <c r="G34" s="1" t="s">
        <v>429</v>
      </c>
      <c r="H34" s="1" t="s">
        <v>430</v>
      </c>
      <c r="I34" s="1" t="s">
        <v>431</v>
      </c>
      <c r="J34" s="1" t="s">
        <v>72</v>
      </c>
      <c r="K34" s="1" t="s">
        <v>432</v>
      </c>
      <c r="L34" s="1" t="s">
        <v>433</v>
      </c>
      <c r="M34" s="1" t="s">
        <v>434</v>
      </c>
      <c r="N34" s="1" t="s">
        <v>388</v>
      </c>
      <c r="O34" s="5" t="s">
        <v>435</v>
      </c>
      <c r="P34" s="1" t="s">
        <v>436</v>
      </c>
      <c r="Q34" s="1" t="s">
        <v>79</v>
      </c>
      <c r="R34" s="1" t="s">
        <v>437</v>
      </c>
      <c r="S34" s="1" t="s">
        <v>156</v>
      </c>
      <c r="T34" s="1" t="s">
        <v>438</v>
      </c>
      <c r="U34" s="1" t="s">
        <v>439</v>
      </c>
      <c r="V34" s="5" t="s">
        <v>435</v>
      </c>
      <c r="W34" s="1" t="s">
        <v>85</v>
      </c>
      <c r="X34" s="1" t="s">
        <v>427</v>
      </c>
      <c r="Y34" s="1" t="s">
        <v>87</v>
      </c>
      <c r="Z34" s="1" t="s">
        <v>88</v>
      </c>
    </row>
    <row r="35" spans="1:26" ht="99.75" customHeight="1">
      <c r="A35" s="1" t="s">
        <v>440</v>
      </c>
      <c r="B35" s="1" t="s">
        <v>131</v>
      </c>
      <c r="C35" s="1" t="s">
        <v>441</v>
      </c>
      <c r="D35" s="1" t="s">
        <v>442</v>
      </c>
      <c r="E35" s="1" t="s">
        <v>381</v>
      </c>
      <c r="F35" s="1" t="s">
        <v>5</v>
      </c>
      <c r="G35" s="1" t="s">
        <v>443</v>
      </c>
      <c r="H35" s="1" t="s">
        <v>383</v>
      </c>
      <c r="I35" s="1" t="s">
        <v>72</v>
      </c>
      <c r="J35" s="1" t="s">
        <v>444</v>
      </c>
      <c r="K35" s="1" t="s">
        <v>445</v>
      </c>
      <c r="L35" s="1" t="s">
        <v>227</v>
      </c>
      <c r="M35" s="1" t="s">
        <v>446</v>
      </c>
      <c r="N35" s="1" t="s">
        <v>388</v>
      </c>
      <c r="O35" s="5" t="s">
        <v>447</v>
      </c>
      <c r="P35" s="1" t="s">
        <v>448</v>
      </c>
      <c r="Q35" s="1" t="s">
        <v>79</v>
      </c>
      <c r="R35" s="1" t="s">
        <v>449</v>
      </c>
      <c r="S35" s="1" t="s">
        <v>156</v>
      </c>
      <c r="T35" s="1" t="s">
        <v>450</v>
      </c>
      <c r="U35" s="1" t="s">
        <v>447</v>
      </c>
      <c r="V35" s="5" t="s">
        <v>447</v>
      </c>
      <c r="W35" s="1" t="s">
        <v>85</v>
      </c>
      <c r="X35" s="1" t="s">
        <v>451</v>
      </c>
      <c r="Y35" s="1" t="s">
        <v>87</v>
      </c>
      <c r="Z35" s="1" t="s">
        <v>88</v>
      </c>
    </row>
    <row r="36" spans="1:26" ht="99.75" customHeight="1">
      <c r="A36" s="1" t="s">
        <v>452</v>
      </c>
      <c r="B36" s="1" t="s">
        <v>131</v>
      </c>
      <c r="C36" s="1" t="s">
        <v>453</v>
      </c>
      <c r="D36" s="1" t="s">
        <v>179</v>
      </c>
      <c r="E36" s="1" t="s">
        <v>381</v>
      </c>
      <c r="F36" s="1" t="s">
        <v>5</v>
      </c>
      <c r="G36" s="1" t="s">
        <v>382</v>
      </c>
      <c r="H36" s="1" t="s">
        <v>454</v>
      </c>
      <c r="I36" s="1" t="s">
        <v>455</v>
      </c>
      <c r="J36" s="1" t="s">
        <v>456</v>
      </c>
      <c r="K36" s="1" t="s">
        <v>457</v>
      </c>
      <c r="L36" s="1" t="s">
        <v>458</v>
      </c>
      <c r="M36" s="1" t="s">
        <v>459</v>
      </c>
      <c r="N36" s="1" t="s">
        <v>388</v>
      </c>
      <c r="O36" s="5" t="s">
        <v>460</v>
      </c>
      <c r="P36" s="1" t="s">
        <v>461</v>
      </c>
      <c r="Q36" s="1" t="s">
        <v>112</v>
      </c>
      <c r="R36" s="1" t="s">
        <v>462</v>
      </c>
      <c r="S36" s="1" t="s">
        <v>156</v>
      </c>
      <c r="T36" s="1" t="s">
        <v>463</v>
      </c>
      <c r="U36" s="1" t="s">
        <v>464</v>
      </c>
      <c r="V36" s="5" t="s">
        <v>460</v>
      </c>
      <c r="W36" s="1" t="s">
        <v>85</v>
      </c>
      <c r="X36" s="1" t="s">
        <v>465</v>
      </c>
      <c r="Y36" s="1" t="s">
        <v>87</v>
      </c>
      <c r="Z36" s="1" t="s">
        <v>88</v>
      </c>
    </row>
    <row r="37" spans="1:26" ht="99.75" customHeight="1">
      <c r="A37" s="1" t="s">
        <v>466</v>
      </c>
      <c r="B37" s="1" t="s">
        <v>131</v>
      </c>
      <c r="C37" s="1" t="s">
        <v>467</v>
      </c>
      <c r="D37" s="1" t="s">
        <v>412</v>
      </c>
      <c r="E37" s="1" t="s">
        <v>381</v>
      </c>
      <c r="F37" s="1" t="s">
        <v>5</v>
      </c>
      <c r="G37" s="1" t="s">
        <v>468</v>
      </c>
      <c r="H37" s="1" t="s">
        <v>469</v>
      </c>
      <c r="I37" s="1" t="s">
        <v>72</v>
      </c>
      <c r="J37" s="1" t="s">
        <v>470</v>
      </c>
      <c r="K37" s="1" t="s">
        <v>471</v>
      </c>
      <c r="L37" s="1" t="s">
        <v>472</v>
      </c>
      <c r="M37" s="1" t="s">
        <v>473</v>
      </c>
      <c r="N37" s="1" t="s">
        <v>388</v>
      </c>
      <c r="O37" s="5" t="s">
        <v>474</v>
      </c>
      <c r="P37" s="1" t="s">
        <v>475</v>
      </c>
      <c r="Q37" s="1" t="s">
        <v>79</v>
      </c>
      <c r="R37" s="1" t="s">
        <v>476</v>
      </c>
      <c r="S37" s="1" t="s">
        <v>156</v>
      </c>
      <c r="T37" s="1" t="s">
        <v>477</v>
      </c>
      <c r="U37" s="1" t="s">
        <v>478</v>
      </c>
      <c r="V37" s="5" t="s">
        <v>479</v>
      </c>
      <c r="W37" s="1" t="s">
        <v>85</v>
      </c>
      <c r="X37" s="1" t="s">
        <v>480</v>
      </c>
      <c r="Y37" s="1" t="s">
        <v>87</v>
      </c>
      <c r="Z37" s="1" t="s">
        <v>88</v>
      </c>
    </row>
    <row r="38" spans="1:26" ht="99.75" customHeight="1">
      <c r="A38" s="1" t="s">
        <v>481</v>
      </c>
      <c r="B38" s="1" t="s">
        <v>131</v>
      </c>
      <c r="C38" s="1" t="s">
        <v>482</v>
      </c>
      <c r="D38" s="1" t="s">
        <v>483</v>
      </c>
      <c r="E38" s="1" t="s">
        <v>381</v>
      </c>
      <c r="F38" s="1" t="s">
        <v>5</v>
      </c>
      <c r="G38" s="1" t="s">
        <v>468</v>
      </c>
      <c r="H38" s="1" t="s">
        <v>484</v>
      </c>
      <c r="I38" s="1" t="s">
        <v>485</v>
      </c>
      <c r="J38" s="1" t="s">
        <v>486</v>
      </c>
      <c r="K38" s="1" t="s">
        <v>487</v>
      </c>
      <c r="L38" s="1" t="s">
        <v>488</v>
      </c>
      <c r="M38" s="1" t="s">
        <v>489</v>
      </c>
      <c r="N38" s="1" t="s">
        <v>388</v>
      </c>
      <c r="O38" s="5" t="s">
        <v>490</v>
      </c>
      <c r="P38" s="1" t="s">
        <v>491</v>
      </c>
      <c r="Q38" s="1" t="s">
        <v>112</v>
      </c>
      <c r="R38" s="1" t="s">
        <v>492</v>
      </c>
      <c r="S38" s="1" t="s">
        <v>156</v>
      </c>
      <c r="T38" s="1" t="s">
        <v>493</v>
      </c>
      <c r="U38" s="1" t="s">
        <v>494</v>
      </c>
      <c r="V38" s="5" t="s">
        <v>495</v>
      </c>
      <c r="W38" s="1" t="s">
        <v>85</v>
      </c>
      <c r="X38" s="1" t="s">
        <v>496</v>
      </c>
      <c r="Y38" s="1" t="s">
        <v>87</v>
      </c>
      <c r="Z38" s="1" t="s">
        <v>88</v>
      </c>
    </row>
    <row r="39" spans="1:26" ht="99.75" customHeight="1">
      <c r="A39" s="1" t="s">
        <v>497</v>
      </c>
      <c r="B39" s="1" t="s">
        <v>131</v>
      </c>
      <c r="C39" s="1" t="s">
        <v>498</v>
      </c>
      <c r="D39" s="1" t="s">
        <v>499</v>
      </c>
      <c r="E39" s="1" t="s">
        <v>381</v>
      </c>
      <c r="F39" s="1" t="s">
        <v>5</v>
      </c>
      <c r="G39" s="1" t="s">
        <v>382</v>
      </c>
      <c r="H39" s="1" t="s">
        <v>398</v>
      </c>
      <c r="I39" s="1" t="s">
        <v>500</v>
      </c>
      <c r="J39" s="1" t="s">
        <v>501</v>
      </c>
      <c r="K39" s="1" t="s">
        <v>502</v>
      </c>
      <c r="L39" s="1" t="s">
        <v>503</v>
      </c>
      <c r="M39" s="1" t="s">
        <v>504</v>
      </c>
      <c r="N39" s="1" t="s">
        <v>388</v>
      </c>
      <c r="O39" s="5" t="s">
        <v>505</v>
      </c>
      <c r="P39" s="1" t="s">
        <v>506</v>
      </c>
      <c r="Q39" s="1" t="s">
        <v>79</v>
      </c>
      <c r="R39" s="1" t="s">
        <v>507</v>
      </c>
      <c r="S39" s="1" t="s">
        <v>156</v>
      </c>
      <c r="T39" s="1" t="s">
        <v>508</v>
      </c>
      <c r="U39" s="1" t="s">
        <v>509</v>
      </c>
      <c r="V39" s="5" t="s">
        <v>505</v>
      </c>
      <c r="W39" s="1" t="s">
        <v>85</v>
      </c>
      <c r="X39" s="1" t="s">
        <v>510</v>
      </c>
      <c r="Y39" s="1" t="s">
        <v>87</v>
      </c>
      <c r="Z39" s="1" t="s">
        <v>88</v>
      </c>
    </row>
    <row r="40" spans="1:26" ht="99.75" customHeight="1">
      <c r="A40" s="1" t="s">
        <v>511</v>
      </c>
      <c r="B40" s="1" t="s">
        <v>131</v>
      </c>
      <c r="C40" s="1" t="s">
        <v>512</v>
      </c>
      <c r="D40" s="1" t="s">
        <v>513</v>
      </c>
      <c r="E40" s="1" t="s">
        <v>381</v>
      </c>
      <c r="F40" s="1" t="s">
        <v>5</v>
      </c>
      <c r="G40" s="1" t="s">
        <v>514</v>
      </c>
      <c r="H40" s="1" t="s">
        <v>515</v>
      </c>
      <c r="I40" s="1" t="s">
        <v>516</v>
      </c>
      <c r="J40" s="1" t="s">
        <v>517</v>
      </c>
      <c r="K40" s="1" t="s">
        <v>518</v>
      </c>
      <c r="L40" s="1" t="s">
        <v>519</v>
      </c>
      <c r="M40" s="1" t="s">
        <v>520</v>
      </c>
      <c r="N40" s="1" t="s">
        <v>388</v>
      </c>
      <c r="O40" s="5" t="s">
        <v>521</v>
      </c>
      <c r="P40" s="1" t="s">
        <v>522</v>
      </c>
      <c r="Q40" s="1" t="s">
        <v>79</v>
      </c>
      <c r="R40" s="1" t="s">
        <v>523</v>
      </c>
      <c r="S40" s="1" t="s">
        <v>156</v>
      </c>
      <c r="T40" s="1" t="s">
        <v>524</v>
      </c>
      <c r="U40" s="1" t="s">
        <v>521</v>
      </c>
      <c r="V40" s="5" t="s">
        <v>521</v>
      </c>
      <c r="W40" s="1" t="s">
        <v>85</v>
      </c>
      <c r="X40" s="1" t="s">
        <v>512</v>
      </c>
      <c r="Y40" s="1" t="s">
        <v>87</v>
      </c>
      <c r="Z40" s="1" t="s">
        <v>88</v>
      </c>
    </row>
    <row r="41" spans="1:26" ht="99.75" customHeight="1">
      <c r="A41" s="1" t="s">
        <v>525</v>
      </c>
      <c r="B41" s="1" t="s">
        <v>131</v>
      </c>
      <c r="C41" s="1" t="s">
        <v>526</v>
      </c>
      <c r="D41" s="1" t="s">
        <v>397</v>
      </c>
      <c r="E41" s="1" t="s">
        <v>381</v>
      </c>
      <c r="F41" s="1" t="s">
        <v>5</v>
      </c>
      <c r="G41" s="1" t="s">
        <v>527</v>
      </c>
      <c r="H41" s="1" t="s">
        <v>271</v>
      </c>
      <c r="I41" s="1" t="s">
        <v>528</v>
      </c>
      <c r="J41" s="1" t="s">
        <v>529</v>
      </c>
      <c r="K41" s="1" t="s">
        <v>530</v>
      </c>
      <c r="L41" s="1" t="s">
        <v>531</v>
      </c>
      <c r="M41" s="1" t="s">
        <v>532</v>
      </c>
      <c r="N41" s="1" t="s">
        <v>388</v>
      </c>
      <c r="O41" s="5" t="s">
        <v>533</v>
      </c>
      <c r="P41" s="1" t="s">
        <v>534</v>
      </c>
      <c r="Q41" s="1" t="s">
        <v>112</v>
      </c>
      <c r="R41" s="1" t="s">
        <v>535</v>
      </c>
      <c r="S41" s="1" t="s">
        <v>156</v>
      </c>
      <c r="T41" s="1" t="s">
        <v>536</v>
      </c>
      <c r="U41" s="1" t="s">
        <v>537</v>
      </c>
      <c r="V41" s="5" t="s">
        <v>537</v>
      </c>
      <c r="W41" s="1" t="s">
        <v>85</v>
      </c>
      <c r="X41" s="1" t="s">
        <v>538</v>
      </c>
      <c r="Y41" s="1" t="s">
        <v>87</v>
      </c>
      <c r="Z41" s="1" t="s">
        <v>88</v>
      </c>
    </row>
    <row r="42" spans="1:26" ht="99.75" customHeight="1">
      <c r="A42" s="1" t="s">
        <v>539</v>
      </c>
      <c r="B42" s="1" t="s">
        <v>131</v>
      </c>
      <c r="C42" s="1" t="s">
        <v>540</v>
      </c>
      <c r="D42" s="1" t="s">
        <v>179</v>
      </c>
      <c r="E42" s="1" t="s">
        <v>381</v>
      </c>
      <c r="F42" s="1" t="s">
        <v>5</v>
      </c>
      <c r="G42" s="1" t="s">
        <v>382</v>
      </c>
      <c r="H42" s="1" t="s">
        <v>383</v>
      </c>
      <c r="I42" s="1" t="s">
        <v>541</v>
      </c>
      <c r="J42" s="1" t="s">
        <v>542</v>
      </c>
      <c r="K42" s="1" t="s">
        <v>543</v>
      </c>
      <c r="L42" s="1" t="s">
        <v>227</v>
      </c>
      <c r="M42" s="1" t="s">
        <v>544</v>
      </c>
      <c r="N42" s="1" t="s">
        <v>388</v>
      </c>
      <c r="O42" s="5" t="s">
        <v>545</v>
      </c>
      <c r="P42" s="1" t="s">
        <v>546</v>
      </c>
      <c r="Q42" s="1" t="s">
        <v>79</v>
      </c>
      <c r="R42" s="1" t="s">
        <v>547</v>
      </c>
      <c r="S42" s="1" t="s">
        <v>156</v>
      </c>
      <c r="T42" s="1" t="s">
        <v>548</v>
      </c>
      <c r="U42" s="1" t="s">
        <v>549</v>
      </c>
      <c r="V42" s="5" t="s">
        <v>550</v>
      </c>
      <c r="W42" s="1" t="s">
        <v>85</v>
      </c>
      <c r="X42" s="1" t="s">
        <v>510</v>
      </c>
      <c r="Y42" s="1" t="s">
        <v>87</v>
      </c>
      <c r="Z42" s="1" t="s">
        <v>88</v>
      </c>
    </row>
    <row r="43" spans="1:26" ht="99.75" customHeight="1">
      <c r="A43" s="1" t="s">
        <v>551</v>
      </c>
      <c r="B43" s="1" t="s">
        <v>145</v>
      </c>
      <c r="C43" s="1" t="s">
        <v>552</v>
      </c>
      <c r="D43" s="1" t="s">
        <v>553</v>
      </c>
      <c r="E43" s="1" t="s">
        <v>381</v>
      </c>
      <c r="F43" s="1" t="s">
        <v>5</v>
      </c>
      <c r="G43" s="1" t="s">
        <v>382</v>
      </c>
      <c r="H43" s="1" t="s">
        <v>554</v>
      </c>
      <c r="I43" s="1" t="s">
        <v>555</v>
      </c>
      <c r="J43" s="1" t="s">
        <v>556</v>
      </c>
      <c r="K43" s="1" t="s">
        <v>557</v>
      </c>
      <c r="L43" s="1" t="s">
        <v>137</v>
      </c>
      <c r="M43" s="1" t="s">
        <v>558</v>
      </c>
      <c r="N43" s="1" t="s">
        <v>388</v>
      </c>
      <c r="O43" s="1" t="s">
        <v>559</v>
      </c>
      <c r="P43" s="1" t="s">
        <v>560</v>
      </c>
      <c r="Q43" s="1" t="s">
        <v>112</v>
      </c>
      <c r="R43" s="1" t="s">
        <v>561</v>
      </c>
      <c r="S43" s="1" t="s">
        <v>81</v>
      </c>
      <c r="T43" s="1" t="s">
        <v>562</v>
      </c>
      <c r="U43" s="1" t="s">
        <v>563</v>
      </c>
      <c r="V43" s="5" t="s">
        <v>564</v>
      </c>
      <c r="W43" s="1" t="s">
        <v>85</v>
      </c>
      <c r="X43" s="1" t="s">
        <v>552</v>
      </c>
      <c r="Y43" s="1" t="s">
        <v>87</v>
      </c>
      <c r="Z43" s="1" t="s">
        <v>88</v>
      </c>
    </row>
    <row r="44" spans="1:26" ht="99.75" customHeight="1">
      <c r="A44" s="1" t="s">
        <v>565</v>
      </c>
      <c r="B44" s="1" t="s">
        <v>145</v>
      </c>
      <c r="C44" s="1" t="s">
        <v>566</v>
      </c>
      <c r="D44" s="1" t="s">
        <v>179</v>
      </c>
      <c r="E44" s="1" t="s">
        <v>381</v>
      </c>
      <c r="F44" s="1" t="s">
        <v>5</v>
      </c>
      <c r="G44" s="1" t="s">
        <v>382</v>
      </c>
      <c r="H44" s="1" t="s">
        <v>454</v>
      </c>
      <c r="I44" s="1" t="s">
        <v>567</v>
      </c>
      <c r="J44" s="1" t="s">
        <v>568</v>
      </c>
      <c r="K44" s="1" t="s">
        <v>569</v>
      </c>
      <c r="L44" s="1" t="s">
        <v>227</v>
      </c>
      <c r="M44" s="1" t="s">
        <v>570</v>
      </c>
      <c r="N44" s="1" t="s">
        <v>388</v>
      </c>
      <c r="O44" s="5" t="s">
        <v>571</v>
      </c>
      <c r="P44" s="1" t="s">
        <v>572</v>
      </c>
      <c r="Q44" s="1" t="s">
        <v>112</v>
      </c>
      <c r="R44" s="1" t="s">
        <v>573</v>
      </c>
      <c r="S44" s="1" t="s">
        <v>81</v>
      </c>
      <c r="T44" s="1" t="s">
        <v>574</v>
      </c>
      <c r="U44" s="1" t="s">
        <v>575</v>
      </c>
      <c r="V44" s="5" t="s">
        <v>576</v>
      </c>
      <c r="W44" s="1" t="s">
        <v>85</v>
      </c>
      <c r="X44" s="1" t="s">
        <v>566</v>
      </c>
      <c r="Y44" s="1" t="s">
        <v>87</v>
      </c>
      <c r="Z44" s="1" t="s">
        <v>88</v>
      </c>
    </row>
    <row r="45" spans="1:26" ht="99.75" customHeight="1">
      <c r="A45" s="1" t="s">
        <v>577</v>
      </c>
      <c r="B45" s="1" t="s">
        <v>145</v>
      </c>
      <c r="C45" s="1" t="s">
        <v>578</v>
      </c>
      <c r="D45" s="1" t="s">
        <v>579</v>
      </c>
      <c r="E45" s="1" t="s">
        <v>381</v>
      </c>
      <c r="F45" s="1" t="s">
        <v>5</v>
      </c>
      <c r="G45" s="1" t="s">
        <v>468</v>
      </c>
      <c r="H45" s="1" t="s">
        <v>580</v>
      </c>
      <c r="I45" s="1" t="s">
        <v>581</v>
      </c>
      <c r="J45" s="1" t="s">
        <v>582</v>
      </c>
      <c r="K45" s="1" t="s">
        <v>583</v>
      </c>
      <c r="L45" s="1" t="s">
        <v>584</v>
      </c>
      <c r="M45" s="1" t="s">
        <v>585</v>
      </c>
      <c r="N45" s="1" t="s">
        <v>388</v>
      </c>
      <c r="O45" s="5" t="s">
        <v>586</v>
      </c>
      <c r="P45" s="1" t="s">
        <v>587</v>
      </c>
      <c r="Q45" s="1" t="s">
        <v>79</v>
      </c>
      <c r="R45" s="1" t="s">
        <v>588</v>
      </c>
      <c r="S45" s="1" t="s">
        <v>81</v>
      </c>
      <c r="T45" s="1" t="s">
        <v>589</v>
      </c>
      <c r="U45" s="1" t="s">
        <v>590</v>
      </c>
      <c r="V45" s="5" t="s">
        <v>591</v>
      </c>
      <c r="W45" s="1" t="s">
        <v>85</v>
      </c>
      <c r="X45" s="1" t="s">
        <v>592</v>
      </c>
      <c r="Y45" s="1" t="s">
        <v>87</v>
      </c>
      <c r="Z45" s="1" t="s">
        <v>88</v>
      </c>
    </row>
    <row r="46" spans="1:26" ht="99.75" customHeight="1">
      <c r="A46" s="1" t="s">
        <v>593</v>
      </c>
      <c r="B46" s="1" t="s">
        <v>145</v>
      </c>
      <c r="C46" s="1" t="s">
        <v>594</v>
      </c>
      <c r="D46" s="1" t="s">
        <v>595</v>
      </c>
      <c r="E46" s="1" t="s">
        <v>381</v>
      </c>
      <c r="F46" s="1" t="s">
        <v>5</v>
      </c>
      <c r="G46" s="1" t="s">
        <v>596</v>
      </c>
      <c r="H46" s="1" t="s">
        <v>597</v>
      </c>
      <c r="I46" s="1" t="s">
        <v>72</v>
      </c>
      <c r="J46" s="1" t="s">
        <v>598</v>
      </c>
      <c r="K46" s="1" t="s">
        <v>599</v>
      </c>
      <c r="L46" s="1" t="s">
        <v>600</v>
      </c>
      <c r="M46" s="1" t="s">
        <v>601</v>
      </c>
      <c r="N46" s="1" t="s">
        <v>388</v>
      </c>
      <c r="O46" s="1" t="s">
        <v>559</v>
      </c>
      <c r="P46" s="1" t="s">
        <v>602</v>
      </c>
      <c r="Q46" s="1" t="s">
        <v>79</v>
      </c>
      <c r="R46" s="1" t="s">
        <v>603</v>
      </c>
      <c r="S46" s="1" t="s">
        <v>81</v>
      </c>
      <c r="T46" s="1" t="s">
        <v>604</v>
      </c>
      <c r="U46" s="1" t="s">
        <v>605</v>
      </c>
      <c r="V46" s="5" t="s">
        <v>606</v>
      </c>
      <c r="W46" s="1" t="s">
        <v>85</v>
      </c>
      <c r="X46" s="1" t="s">
        <v>607</v>
      </c>
      <c r="Y46" s="1" t="s">
        <v>87</v>
      </c>
      <c r="Z46" s="1" t="s">
        <v>88</v>
      </c>
    </row>
    <row r="47" spans="1:26" ht="99.75" customHeight="1">
      <c r="A47" s="1" t="s">
        <v>608</v>
      </c>
      <c r="B47" s="1" t="s">
        <v>145</v>
      </c>
      <c r="C47" s="1" t="s">
        <v>609</v>
      </c>
      <c r="D47" s="1" t="s">
        <v>483</v>
      </c>
      <c r="E47" s="1" t="s">
        <v>381</v>
      </c>
      <c r="F47" s="1" t="s">
        <v>5</v>
      </c>
      <c r="G47" s="1" t="s">
        <v>382</v>
      </c>
      <c r="H47" s="1" t="s">
        <v>413</v>
      </c>
      <c r="I47" s="1" t="s">
        <v>610</v>
      </c>
      <c r="J47" s="1" t="s">
        <v>611</v>
      </c>
      <c r="K47" s="1" t="s">
        <v>612</v>
      </c>
      <c r="L47" s="1" t="s">
        <v>613</v>
      </c>
      <c r="M47" s="1" t="s">
        <v>614</v>
      </c>
      <c r="N47" s="1" t="s">
        <v>388</v>
      </c>
      <c r="O47" s="5" t="s">
        <v>615</v>
      </c>
      <c r="P47" s="1" t="s">
        <v>616</v>
      </c>
      <c r="Q47" s="1" t="s">
        <v>112</v>
      </c>
      <c r="R47" s="1" t="s">
        <v>617</v>
      </c>
      <c r="S47" s="1" t="s">
        <v>81</v>
      </c>
      <c r="T47" s="1" t="s">
        <v>618</v>
      </c>
      <c r="U47" s="1" t="s">
        <v>619</v>
      </c>
      <c r="V47" s="5" t="s">
        <v>615</v>
      </c>
      <c r="W47" s="1" t="s">
        <v>85</v>
      </c>
      <c r="X47" s="1" t="s">
        <v>620</v>
      </c>
      <c r="Y47" s="1" t="s">
        <v>87</v>
      </c>
      <c r="Z47" s="1" t="s">
        <v>88</v>
      </c>
    </row>
    <row r="48" spans="1:26" ht="99.75" customHeight="1">
      <c r="A48" s="1" t="s">
        <v>621</v>
      </c>
      <c r="B48" s="1" t="s">
        <v>145</v>
      </c>
      <c r="C48" s="1" t="s">
        <v>622</v>
      </c>
      <c r="D48" s="1" t="s">
        <v>623</v>
      </c>
      <c r="E48" s="1" t="s">
        <v>624</v>
      </c>
      <c r="F48" s="1" t="s">
        <v>625</v>
      </c>
      <c r="G48" s="1" t="s">
        <v>626</v>
      </c>
      <c r="H48" s="1" t="s">
        <v>627</v>
      </c>
      <c r="I48" s="1" t="s">
        <v>628</v>
      </c>
      <c r="J48" s="1" t="s">
        <v>629</v>
      </c>
      <c r="K48" s="1" t="s">
        <v>630</v>
      </c>
      <c r="L48" s="1" t="s">
        <v>631</v>
      </c>
      <c r="M48" s="1" t="s">
        <v>632</v>
      </c>
      <c r="N48" s="1" t="s">
        <v>633</v>
      </c>
      <c r="O48" s="5" t="s">
        <v>634</v>
      </c>
      <c r="P48" s="1" t="s">
        <v>635</v>
      </c>
      <c r="Q48" s="1" t="s">
        <v>79</v>
      </c>
      <c r="R48" s="1" t="s">
        <v>636</v>
      </c>
      <c r="S48" s="1" t="s">
        <v>156</v>
      </c>
      <c r="T48" s="1" t="s">
        <v>637</v>
      </c>
      <c r="U48" s="1" t="s">
        <v>638</v>
      </c>
      <c r="V48" s="5" t="s">
        <v>638</v>
      </c>
      <c r="W48" s="1" t="s">
        <v>85</v>
      </c>
      <c r="X48" s="1" t="s">
        <v>622</v>
      </c>
      <c r="Y48" s="1" t="s">
        <v>87</v>
      </c>
      <c r="Z48" s="1" t="s">
        <v>88</v>
      </c>
    </row>
    <row r="49" spans="1:26" ht="99.75" customHeight="1">
      <c r="A49" s="1" t="s">
        <v>639</v>
      </c>
      <c r="B49" s="1" t="s">
        <v>145</v>
      </c>
      <c r="C49" s="1" t="s">
        <v>640</v>
      </c>
      <c r="D49" s="1" t="s">
        <v>641</v>
      </c>
      <c r="E49" s="1" t="s">
        <v>624</v>
      </c>
      <c r="F49" s="1" t="s">
        <v>642</v>
      </c>
      <c r="G49" s="1" t="s">
        <v>643</v>
      </c>
      <c r="H49" s="1" t="s">
        <v>644</v>
      </c>
      <c r="I49" s="1" t="s">
        <v>645</v>
      </c>
      <c r="J49" s="1" t="s">
        <v>646</v>
      </c>
      <c r="K49" s="1" t="s">
        <v>647</v>
      </c>
      <c r="L49" s="1" t="s">
        <v>648</v>
      </c>
      <c r="M49" s="1" t="s">
        <v>649</v>
      </c>
      <c r="N49" s="1" t="s">
        <v>77</v>
      </c>
      <c r="O49" s="5" t="s">
        <v>650</v>
      </c>
      <c r="P49" s="1" t="s">
        <v>651</v>
      </c>
      <c r="Q49" s="1" t="s">
        <v>79</v>
      </c>
      <c r="R49" s="1" t="s">
        <v>652</v>
      </c>
      <c r="S49" s="1" t="s">
        <v>156</v>
      </c>
      <c r="T49" s="1" t="s">
        <v>653</v>
      </c>
      <c r="U49" s="1" t="s">
        <v>650</v>
      </c>
      <c r="V49" s="5" t="s">
        <v>650</v>
      </c>
      <c r="W49" s="1" t="s">
        <v>85</v>
      </c>
      <c r="X49" s="1" t="s">
        <v>654</v>
      </c>
      <c r="Y49" s="1" t="s">
        <v>87</v>
      </c>
      <c r="Z49" s="1" t="s">
        <v>88</v>
      </c>
    </row>
    <row r="50" spans="1:26" ht="99.75" customHeight="1">
      <c r="A50" s="1" t="s">
        <v>655</v>
      </c>
      <c r="B50" s="1" t="s">
        <v>145</v>
      </c>
      <c r="C50" s="1" t="s">
        <v>656</v>
      </c>
      <c r="D50" s="1" t="s">
        <v>657</v>
      </c>
      <c r="E50" s="1" t="s">
        <v>624</v>
      </c>
      <c r="F50" s="1" t="s">
        <v>658</v>
      </c>
      <c r="G50" s="1" t="s">
        <v>659</v>
      </c>
      <c r="H50" s="1" t="s">
        <v>660</v>
      </c>
      <c r="I50" s="1" t="s">
        <v>661</v>
      </c>
      <c r="J50" s="1" t="s">
        <v>662</v>
      </c>
      <c r="K50" s="1" t="s">
        <v>663</v>
      </c>
      <c r="L50" s="1" t="s">
        <v>664</v>
      </c>
      <c r="M50" s="1" t="s">
        <v>665</v>
      </c>
      <c r="N50" s="1" t="s">
        <v>666</v>
      </c>
      <c r="O50" s="5" t="s">
        <v>667</v>
      </c>
      <c r="P50" s="1" t="s">
        <v>668</v>
      </c>
      <c r="Q50" s="1" t="s">
        <v>669</v>
      </c>
      <c r="R50" s="1" t="s">
        <v>670</v>
      </c>
      <c r="S50" s="1" t="s">
        <v>156</v>
      </c>
      <c r="T50" s="1" t="s">
        <v>671</v>
      </c>
      <c r="U50" s="1" t="s">
        <v>672</v>
      </c>
      <c r="V50" s="5" t="s">
        <v>672</v>
      </c>
      <c r="W50" s="1" t="s">
        <v>85</v>
      </c>
      <c r="X50" s="1" t="s">
        <v>673</v>
      </c>
      <c r="Y50" s="1" t="s">
        <v>87</v>
      </c>
      <c r="Z50" s="1" t="s">
        <v>88</v>
      </c>
    </row>
    <row r="51" spans="1:26" ht="99.75" customHeight="1">
      <c r="A51" s="1" t="s">
        <v>674</v>
      </c>
      <c r="B51" s="1" t="s">
        <v>145</v>
      </c>
      <c r="C51" s="1" t="s">
        <v>675</v>
      </c>
      <c r="D51" s="1" t="s">
        <v>499</v>
      </c>
      <c r="E51" s="1" t="s">
        <v>624</v>
      </c>
      <c r="F51" s="1" t="s">
        <v>658</v>
      </c>
      <c r="G51" s="1" t="s">
        <v>676</v>
      </c>
      <c r="H51" s="1" t="s">
        <v>677</v>
      </c>
      <c r="I51" s="1" t="s">
        <v>678</v>
      </c>
      <c r="J51" s="1" t="s">
        <v>679</v>
      </c>
      <c r="K51" s="1" t="s">
        <v>680</v>
      </c>
      <c r="L51" s="1" t="s">
        <v>681</v>
      </c>
      <c r="M51" s="1" t="s">
        <v>682</v>
      </c>
      <c r="N51" s="1" t="s">
        <v>666</v>
      </c>
      <c r="O51" s="5" t="s">
        <v>683</v>
      </c>
      <c r="P51" s="1" t="s">
        <v>684</v>
      </c>
      <c r="Q51" s="1" t="s">
        <v>79</v>
      </c>
      <c r="R51" s="1" t="s">
        <v>685</v>
      </c>
      <c r="S51" s="1" t="s">
        <v>156</v>
      </c>
      <c r="T51" s="1" t="s">
        <v>686</v>
      </c>
      <c r="U51" s="1" t="s">
        <v>683</v>
      </c>
      <c r="V51" s="5" t="s">
        <v>683</v>
      </c>
      <c r="W51" s="1" t="s">
        <v>85</v>
      </c>
      <c r="X51" s="1" t="s">
        <v>675</v>
      </c>
      <c r="Y51" s="1" t="s">
        <v>87</v>
      </c>
      <c r="Z51" s="1" t="s">
        <v>88</v>
      </c>
    </row>
    <row r="52" spans="1:26" ht="99.75" customHeight="1">
      <c r="A52" s="1" t="s">
        <v>687</v>
      </c>
      <c r="B52" s="1" t="s">
        <v>145</v>
      </c>
      <c r="C52" s="1" t="s">
        <v>688</v>
      </c>
      <c r="D52" s="1" t="s">
        <v>689</v>
      </c>
      <c r="E52" s="1" t="s">
        <v>624</v>
      </c>
      <c r="F52" s="1" t="s">
        <v>690</v>
      </c>
      <c r="G52" s="1" t="s">
        <v>691</v>
      </c>
      <c r="H52" s="1" t="s">
        <v>692</v>
      </c>
      <c r="I52" s="1" t="s">
        <v>693</v>
      </c>
      <c r="J52" s="1" t="s">
        <v>694</v>
      </c>
      <c r="K52" s="1" t="s">
        <v>695</v>
      </c>
      <c r="L52" s="1" t="s">
        <v>696</v>
      </c>
      <c r="M52" s="1" t="s">
        <v>697</v>
      </c>
      <c r="N52" s="1" t="s">
        <v>698</v>
      </c>
      <c r="O52" s="5" t="s">
        <v>699</v>
      </c>
      <c r="P52" s="1" t="s">
        <v>700</v>
      </c>
      <c r="Q52" s="1" t="s">
        <v>79</v>
      </c>
      <c r="R52" s="1" t="s">
        <v>701</v>
      </c>
      <c r="S52" s="1" t="s">
        <v>156</v>
      </c>
      <c r="T52" s="1" t="s">
        <v>702</v>
      </c>
      <c r="U52" s="1" t="s">
        <v>703</v>
      </c>
      <c r="V52" s="5" t="s">
        <v>704</v>
      </c>
      <c r="W52" s="1" t="s">
        <v>85</v>
      </c>
      <c r="X52" s="1" t="s">
        <v>705</v>
      </c>
      <c r="Y52" s="1" t="s">
        <v>87</v>
      </c>
      <c r="Z52" s="1" t="s">
        <v>88</v>
      </c>
    </row>
    <row r="53" spans="1:26" ht="99.75" customHeight="1">
      <c r="A53" s="1" t="s">
        <v>706</v>
      </c>
      <c r="B53" s="1" t="s">
        <v>145</v>
      </c>
      <c r="C53" s="1" t="s">
        <v>707</v>
      </c>
      <c r="D53" s="1" t="s">
        <v>708</v>
      </c>
      <c r="E53" s="1" t="s">
        <v>624</v>
      </c>
      <c r="F53" s="1" t="s">
        <v>690</v>
      </c>
      <c r="G53" s="1" t="s">
        <v>691</v>
      </c>
      <c r="H53" s="1" t="s">
        <v>709</v>
      </c>
      <c r="I53" s="1" t="s">
        <v>710</v>
      </c>
      <c r="J53" s="1" t="s">
        <v>711</v>
      </c>
      <c r="K53" s="1" t="s">
        <v>712</v>
      </c>
      <c r="L53" s="1" t="s">
        <v>713</v>
      </c>
      <c r="M53" s="1" t="s">
        <v>714</v>
      </c>
      <c r="N53" s="1" t="s">
        <v>698</v>
      </c>
      <c r="O53" s="5" t="s">
        <v>715</v>
      </c>
      <c r="P53" s="1" t="s">
        <v>716</v>
      </c>
      <c r="Q53" s="1" t="s">
        <v>112</v>
      </c>
      <c r="R53" s="1" t="s">
        <v>717</v>
      </c>
      <c r="S53" s="1" t="s">
        <v>81</v>
      </c>
      <c r="T53" s="1" t="s">
        <v>718</v>
      </c>
      <c r="U53" s="1" t="s">
        <v>719</v>
      </c>
      <c r="V53" s="5" t="s">
        <v>715</v>
      </c>
      <c r="W53" s="1" t="s">
        <v>85</v>
      </c>
      <c r="X53" s="1" t="s">
        <v>720</v>
      </c>
      <c r="Y53" s="1" t="s">
        <v>87</v>
      </c>
      <c r="Z53" s="1" t="s">
        <v>88</v>
      </c>
    </row>
    <row r="54" spans="1:26" ht="99.75" customHeight="1">
      <c r="A54" s="1" t="s">
        <v>721</v>
      </c>
      <c r="B54" s="1" t="s">
        <v>145</v>
      </c>
      <c r="C54" s="1" t="s">
        <v>722</v>
      </c>
      <c r="D54" s="1" t="s">
        <v>623</v>
      </c>
      <c r="E54" s="1" t="s">
        <v>624</v>
      </c>
      <c r="F54" s="1" t="s">
        <v>625</v>
      </c>
      <c r="G54" s="1" t="s">
        <v>723</v>
      </c>
      <c r="H54" s="1" t="s">
        <v>724</v>
      </c>
      <c r="I54" s="1" t="s">
        <v>725</v>
      </c>
      <c r="J54" s="1" t="s">
        <v>726</v>
      </c>
      <c r="K54" s="1" t="s">
        <v>727</v>
      </c>
      <c r="L54" s="1" t="s">
        <v>728</v>
      </c>
      <c r="M54" s="1" t="s">
        <v>729</v>
      </c>
      <c r="N54" s="1" t="s">
        <v>633</v>
      </c>
      <c r="O54" s="5" t="s">
        <v>730</v>
      </c>
      <c r="P54" s="1" t="s">
        <v>731</v>
      </c>
      <c r="Q54" s="1" t="s">
        <v>79</v>
      </c>
      <c r="R54" s="1" t="s">
        <v>732</v>
      </c>
      <c r="S54" s="1" t="s">
        <v>156</v>
      </c>
      <c r="T54" s="1" t="s">
        <v>733</v>
      </c>
      <c r="U54" s="1" t="s">
        <v>730</v>
      </c>
      <c r="V54" s="5" t="s">
        <v>730</v>
      </c>
      <c r="W54" s="1" t="s">
        <v>85</v>
      </c>
      <c r="X54" s="1" t="s">
        <v>734</v>
      </c>
      <c r="Y54" s="1" t="s">
        <v>87</v>
      </c>
      <c r="Z54" s="1" t="s">
        <v>88</v>
      </c>
    </row>
    <row r="55" spans="1:26" ht="99.75" customHeight="1">
      <c r="A55" s="1" t="s">
        <v>735</v>
      </c>
      <c r="B55" s="1" t="s">
        <v>145</v>
      </c>
      <c r="C55" s="1" t="s">
        <v>736</v>
      </c>
      <c r="D55" s="1" t="s">
        <v>623</v>
      </c>
      <c r="E55" s="1" t="s">
        <v>624</v>
      </c>
      <c r="F55" s="1" t="s">
        <v>625</v>
      </c>
      <c r="G55" s="1" t="s">
        <v>737</v>
      </c>
      <c r="H55" s="1" t="s">
        <v>738</v>
      </c>
      <c r="I55" s="1" t="s">
        <v>739</v>
      </c>
      <c r="J55" s="1" t="s">
        <v>740</v>
      </c>
      <c r="K55" s="1" t="s">
        <v>741</v>
      </c>
      <c r="L55" s="1" t="s">
        <v>631</v>
      </c>
      <c r="M55" s="1" t="s">
        <v>742</v>
      </c>
      <c r="N55" s="1" t="s">
        <v>633</v>
      </c>
      <c r="O55" s="5" t="s">
        <v>743</v>
      </c>
      <c r="P55" s="1" t="s">
        <v>744</v>
      </c>
      <c r="Q55" s="1" t="s">
        <v>79</v>
      </c>
      <c r="R55" s="1" t="s">
        <v>745</v>
      </c>
      <c r="S55" s="1" t="s">
        <v>156</v>
      </c>
      <c r="T55" s="1" t="s">
        <v>746</v>
      </c>
      <c r="U55" s="1" t="s">
        <v>747</v>
      </c>
      <c r="V55" s="5" t="s">
        <v>747</v>
      </c>
      <c r="W55" s="1" t="s">
        <v>85</v>
      </c>
      <c r="X55" s="1" t="s">
        <v>736</v>
      </c>
      <c r="Y55" s="1" t="s">
        <v>87</v>
      </c>
      <c r="Z55" s="1" t="s">
        <v>88</v>
      </c>
    </row>
  </sheetData>
  <mergeCells count="2">
    <mergeCell ref="A1:Z1"/>
    <mergeCell ref="A2:Z3"/>
  </mergeCells>
  <conditionalFormatting sqref="B6:B55">
    <cfRule type="containsText" dxfId="0" priority="1" operator="containsText" text="P1">
      <formula>NOT(ISERROR(SEARCH("P1",B6)))</formula>
    </cfRule>
  </conditionalFormatting>
  <conditionalFormatting sqref="I6:I55">
    <cfRule type="containsText" dxfId="1" priority="2" operator="containsText" text="Not publicly">
      <formula>NOT(ISERROR(SEARCH("Not publicly",I6)))</formula>
    </cfRule>
  </conditionalFormatting>
  <hyperlinks>
    <hyperlink ref="V6" r:id="rId1"/>
    <hyperlink ref="V7" r:id="rId2"/>
    <hyperlink ref="O8" r:id="rId3"/>
    <hyperlink ref="V8" r:id="rId4"/>
    <hyperlink ref="V9" r:id="rId5"/>
    <hyperlink ref="V10" r:id="rId6"/>
    <hyperlink ref="O11" r:id="rId7"/>
    <hyperlink ref="V11" r:id="rId8"/>
    <hyperlink ref="O12" r:id="rId9"/>
    <hyperlink ref="V12" r:id="rId10"/>
    <hyperlink ref="V13" r:id="rId11"/>
    <hyperlink ref="O14" r:id="rId12"/>
    <hyperlink ref="V14" r:id="rId13"/>
    <hyperlink ref="O15" r:id="rId14"/>
    <hyperlink ref="V15" r:id="rId15"/>
    <hyperlink ref="V16" r:id="rId16"/>
    <hyperlink ref="V17" r:id="rId17"/>
    <hyperlink ref="V18" r:id="rId18"/>
    <hyperlink ref="O19" r:id="rId19"/>
    <hyperlink ref="V19" r:id="rId20"/>
    <hyperlink ref="V20" r:id="rId21"/>
    <hyperlink ref="V21" r:id="rId22"/>
    <hyperlink ref="O22" r:id="rId23"/>
    <hyperlink ref="V22" r:id="rId24"/>
    <hyperlink ref="V23" r:id="rId25"/>
    <hyperlink ref="V24" r:id="rId26"/>
    <hyperlink ref="V25" r:id="rId27"/>
    <hyperlink ref="O26" r:id="rId28"/>
    <hyperlink ref="V26" r:id="rId29"/>
    <hyperlink ref="O27" r:id="rId30"/>
    <hyperlink ref="V27" r:id="rId31"/>
    <hyperlink ref="O28" r:id="rId32"/>
    <hyperlink ref="V28" r:id="rId33"/>
    <hyperlink ref="O29" r:id="rId34"/>
    <hyperlink ref="V29" r:id="rId35"/>
    <hyperlink ref="O30" r:id="rId36"/>
    <hyperlink ref="V30" r:id="rId37"/>
    <hyperlink ref="O31" r:id="rId38"/>
    <hyperlink ref="V31" r:id="rId39"/>
    <hyperlink ref="O32" r:id="rId40"/>
    <hyperlink ref="V32" r:id="rId41"/>
    <hyperlink ref="O33" r:id="rId42"/>
    <hyperlink ref="V33" r:id="rId43"/>
    <hyperlink ref="O34" r:id="rId44"/>
    <hyperlink ref="V34" r:id="rId45"/>
    <hyperlink ref="O35" r:id="rId46"/>
    <hyperlink ref="V35" r:id="rId47"/>
    <hyperlink ref="O36" r:id="rId48"/>
    <hyperlink ref="V36" r:id="rId49"/>
    <hyperlink ref="O37" r:id="rId50"/>
    <hyperlink ref="V37" r:id="rId51"/>
    <hyperlink ref="O38" r:id="rId52"/>
    <hyperlink ref="V38" r:id="rId53"/>
    <hyperlink ref="O39" r:id="rId54"/>
    <hyperlink ref="V39" r:id="rId55"/>
    <hyperlink ref="O40" r:id="rId56"/>
    <hyperlink ref="V40" r:id="rId57"/>
    <hyperlink ref="O41" r:id="rId58"/>
    <hyperlink ref="V41" r:id="rId59"/>
    <hyperlink ref="O42" r:id="rId60"/>
    <hyperlink ref="V42" r:id="rId61"/>
    <hyperlink ref="V43" r:id="rId62"/>
    <hyperlink ref="O44" r:id="rId63"/>
    <hyperlink ref="V44" r:id="rId64"/>
    <hyperlink ref="O45" r:id="rId65"/>
    <hyperlink ref="V45" r:id="rId66"/>
    <hyperlink ref="V46" r:id="rId67"/>
    <hyperlink ref="O47" r:id="rId68"/>
    <hyperlink ref="V47" r:id="rId69"/>
    <hyperlink ref="O48" r:id="rId70"/>
    <hyperlink ref="V48" r:id="rId71"/>
    <hyperlink ref="O49" r:id="rId72"/>
    <hyperlink ref="V49" r:id="rId73"/>
    <hyperlink ref="O50" r:id="rId74"/>
    <hyperlink ref="V50" r:id="rId75"/>
    <hyperlink ref="O51" r:id="rId76"/>
    <hyperlink ref="V51" r:id="rId77"/>
    <hyperlink ref="O52" r:id="rId78"/>
    <hyperlink ref="V52" r:id="rId79"/>
    <hyperlink ref="O53" r:id="rId80"/>
    <hyperlink ref="V53" r:id="rId81"/>
    <hyperlink ref="O54" r:id="rId82"/>
    <hyperlink ref="V54" r:id="rId83"/>
    <hyperlink ref="O55" r:id="rId84"/>
    <hyperlink ref="V55" r:id="rId85"/>
  </hyperlinks>
  <pageMargins left="0.7" right="0.7" top="0.75" bottom="0.75" header="0.3" footer="0.3"/>
  <pageSetup paperSize="9" fitToHeight="0" orientation="landscape"/>
  <headerFooter>
    <oddFooter>&amp;LPoranki dehydrated fruit research &amp;RPage &amp;P of &amp;N</oddFooter>
  </headerFooter>
  <tableParts count="1">
    <tablePart r:id="rId86"/>
  </tableParts>
</worksheet>
</file>

<file path=xl/worksheets/sheet3.xml><?xml version="1.0" encoding="utf-8"?>
<worksheet xmlns="http://schemas.openxmlformats.org/spreadsheetml/2006/main" xmlns:r="http://schemas.openxmlformats.org/officeDocument/2006/relationships">
  <sheetPr>
    <pageSetUpPr fitToPage="1"/>
  </sheetPr>
  <dimension ref="A1:J30"/>
  <sheetViews>
    <sheetView showGridLines="0"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10.7109375" style="1" customWidth="1"/>
    <col min="2" max="2" width="38.7109375" style="1" customWidth="1"/>
    <col min="3" max="3" width="10.7109375" style="1" customWidth="1"/>
    <col min="4" max="4" width="33.7109375" style="1" customWidth="1"/>
    <col min="5" max="5" width="42.7109375" style="1" customWidth="1"/>
    <col min="6" max="6" width="38.7109375" style="1" customWidth="1"/>
    <col min="7" max="7" width="40.7109375" style="1" customWidth="1"/>
    <col min="8" max="8" width="55.7109375" style="1" customWidth="1"/>
    <col min="9" max="9" width="25.7109375" style="1" customWidth="1"/>
    <col min="10" max="10" width="80.7109375" style="1" customWidth="1"/>
  </cols>
  <sheetData>
    <row r="1" spans="1:10" ht="33.75" customHeight="1">
      <c r="A1" s="2" t="s">
        <v>748</v>
      </c>
      <c r="B1" s="2"/>
      <c r="C1" s="2"/>
      <c r="D1" s="2"/>
      <c r="E1" s="2"/>
      <c r="F1" s="2"/>
      <c r="G1" s="2"/>
      <c r="H1" s="2"/>
      <c r="I1" s="2"/>
      <c r="J1" s="2"/>
    </row>
    <row r="2" spans="1:10" ht="24" customHeight="1">
      <c r="A2" s="3" t="s">
        <v>749</v>
      </c>
      <c r="B2" s="3"/>
      <c r="C2" s="3"/>
      <c r="D2" s="3"/>
      <c r="E2" s="3"/>
      <c r="F2" s="3"/>
      <c r="G2" s="3"/>
      <c r="H2" s="3"/>
      <c r="I2" s="3"/>
      <c r="J2" s="3"/>
    </row>
    <row r="3" spans="1:10" ht="24" customHeight="1">
      <c r="A3" s="3"/>
      <c r="B3" s="3"/>
      <c r="C3" s="3"/>
      <c r="D3" s="3"/>
      <c r="E3" s="3"/>
      <c r="F3" s="3"/>
      <c r="G3" s="3"/>
      <c r="H3" s="3"/>
      <c r="I3" s="3"/>
      <c r="J3" s="3"/>
    </row>
    <row r="5" spans="1:10" ht="32.25" customHeight="1">
      <c r="A5" s="6" t="s">
        <v>38</v>
      </c>
      <c r="B5" s="6" t="s">
        <v>750</v>
      </c>
      <c r="C5" s="6" t="s">
        <v>39</v>
      </c>
      <c r="D5" s="6" t="s">
        <v>751</v>
      </c>
      <c r="E5" s="6" t="s">
        <v>752</v>
      </c>
      <c r="F5" s="6" t="s">
        <v>753</v>
      </c>
      <c r="G5" s="6" t="s">
        <v>754</v>
      </c>
      <c r="H5" s="6" t="s">
        <v>48</v>
      </c>
      <c r="I5" s="6" t="s">
        <v>755</v>
      </c>
      <c r="J5" s="6" t="s">
        <v>756</v>
      </c>
    </row>
    <row r="6" spans="1:10" ht="96" customHeight="1">
      <c r="A6" s="1" t="s">
        <v>64</v>
      </c>
      <c r="B6" s="1" t="s">
        <v>66</v>
      </c>
      <c r="C6" s="1" t="s">
        <v>65</v>
      </c>
      <c r="D6" s="1" t="s">
        <v>70</v>
      </c>
      <c r="E6" s="1" t="s">
        <v>71</v>
      </c>
      <c r="F6" s="1" t="s">
        <v>73</v>
      </c>
      <c r="G6" s="1" t="s">
        <v>72</v>
      </c>
      <c r="H6" s="1" t="s">
        <v>74</v>
      </c>
      <c r="I6" s="1" t="s">
        <v>81</v>
      </c>
      <c r="J6" s="1" t="s">
        <v>82</v>
      </c>
    </row>
    <row r="7" spans="1:10" ht="96" customHeight="1">
      <c r="A7" s="1" t="s">
        <v>89</v>
      </c>
      <c r="B7" s="1" t="s">
        <v>90</v>
      </c>
      <c r="C7" s="1" t="s">
        <v>65</v>
      </c>
      <c r="D7" s="1" t="s">
        <v>92</v>
      </c>
      <c r="E7" s="1" t="s">
        <v>93</v>
      </c>
      <c r="F7" s="1" t="s">
        <v>94</v>
      </c>
      <c r="G7" s="1" t="s">
        <v>72</v>
      </c>
      <c r="H7" s="1" t="s">
        <v>74</v>
      </c>
      <c r="I7" s="1" t="s">
        <v>81</v>
      </c>
      <c r="J7" s="1" t="s">
        <v>99</v>
      </c>
    </row>
    <row r="8" spans="1:10" ht="96" customHeight="1">
      <c r="A8" s="1" t="s">
        <v>103</v>
      </c>
      <c r="B8" s="1" t="s">
        <v>104</v>
      </c>
      <c r="C8" s="1" t="s">
        <v>65</v>
      </c>
      <c r="D8" s="1" t="s">
        <v>106</v>
      </c>
      <c r="E8" s="1" t="s">
        <v>107</v>
      </c>
      <c r="F8" s="1" t="s">
        <v>108</v>
      </c>
      <c r="G8" s="1" t="s">
        <v>72</v>
      </c>
      <c r="H8" s="1" t="s">
        <v>74</v>
      </c>
      <c r="I8" s="1" t="s">
        <v>81</v>
      </c>
      <c r="J8" s="1" t="s">
        <v>114</v>
      </c>
    </row>
    <row r="9" spans="1:10" ht="96" customHeight="1">
      <c r="A9" s="1" t="s">
        <v>117</v>
      </c>
      <c r="B9" s="1" t="s">
        <v>118</v>
      </c>
      <c r="C9" s="1" t="s">
        <v>65</v>
      </c>
      <c r="D9" s="1" t="s">
        <v>106</v>
      </c>
      <c r="E9" s="1" t="s">
        <v>120</v>
      </c>
      <c r="F9" s="1" t="s">
        <v>121</v>
      </c>
      <c r="G9" s="1" t="s">
        <v>72</v>
      </c>
      <c r="H9" s="1" t="s">
        <v>74</v>
      </c>
      <c r="I9" s="1" t="s">
        <v>81</v>
      </c>
      <c r="J9" s="1" t="s">
        <v>126</v>
      </c>
    </row>
    <row r="10" spans="1:10" ht="96" customHeight="1">
      <c r="A10" s="1" t="s">
        <v>130</v>
      </c>
      <c r="B10" s="1" t="s">
        <v>132</v>
      </c>
      <c r="C10" s="1" t="s">
        <v>131</v>
      </c>
      <c r="D10" s="1" t="s">
        <v>133</v>
      </c>
      <c r="E10" s="1" t="s">
        <v>134</v>
      </c>
      <c r="F10" s="1" t="s">
        <v>135</v>
      </c>
      <c r="G10" s="1" t="s">
        <v>72</v>
      </c>
      <c r="H10" s="1" t="s">
        <v>136</v>
      </c>
      <c r="I10" s="1" t="s">
        <v>81</v>
      </c>
      <c r="J10" s="1" t="s">
        <v>141</v>
      </c>
    </row>
    <row r="11" spans="1:10" ht="96" customHeight="1">
      <c r="A11" s="1" t="s">
        <v>144</v>
      </c>
      <c r="B11" s="1" t="s">
        <v>146</v>
      </c>
      <c r="C11" s="1" t="s">
        <v>145</v>
      </c>
      <c r="D11" s="1" t="s">
        <v>147</v>
      </c>
      <c r="E11" s="1" t="s">
        <v>148</v>
      </c>
      <c r="F11" s="1" t="s">
        <v>149</v>
      </c>
      <c r="G11" s="1" t="s">
        <v>72</v>
      </c>
      <c r="H11" s="1" t="s">
        <v>150</v>
      </c>
      <c r="I11" s="1" t="s">
        <v>156</v>
      </c>
      <c r="J11" s="1" t="s">
        <v>157</v>
      </c>
    </row>
    <row r="12" spans="1:10" ht="96" customHeight="1">
      <c r="A12" s="1" t="s">
        <v>160</v>
      </c>
      <c r="B12" s="1" t="s">
        <v>161</v>
      </c>
      <c r="C12" s="1" t="s">
        <v>65</v>
      </c>
      <c r="D12" s="1" t="s">
        <v>164</v>
      </c>
      <c r="E12" s="1" t="s">
        <v>165</v>
      </c>
      <c r="F12" s="1" t="s">
        <v>167</v>
      </c>
      <c r="G12" s="1" t="s">
        <v>166</v>
      </c>
      <c r="H12" s="1" t="s">
        <v>168</v>
      </c>
      <c r="I12" s="1" t="s">
        <v>156</v>
      </c>
      <c r="J12" s="1" t="s">
        <v>174</v>
      </c>
    </row>
    <row r="13" spans="1:10" ht="96" customHeight="1">
      <c r="A13" s="1" t="s">
        <v>177</v>
      </c>
      <c r="B13" s="1" t="s">
        <v>178</v>
      </c>
      <c r="C13" s="1" t="s">
        <v>65</v>
      </c>
      <c r="D13" s="1" t="s">
        <v>180</v>
      </c>
      <c r="E13" s="1" t="s">
        <v>71</v>
      </c>
      <c r="F13" s="1" t="s">
        <v>181</v>
      </c>
      <c r="G13" s="1" t="s">
        <v>72</v>
      </c>
      <c r="H13" s="1" t="s">
        <v>74</v>
      </c>
      <c r="I13" s="1" t="s">
        <v>81</v>
      </c>
      <c r="J13" s="1" t="s">
        <v>174</v>
      </c>
    </row>
    <row r="14" spans="1:10" ht="96" customHeight="1">
      <c r="A14" s="1" t="s">
        <v>187</v>
      </c>
      <c r="B14" s="1" t="s">
        <v>188</v>
      </c>
      <c r="C14" s="1" t="s">
        <v>65</v>
      </c>
      <c r="D14" s="1" t="s">
        <v>190</v>
      </c>
      <c r="E14" s="1" t="s">
        <v>191</v>
      </c>
      <c r="F14" s="1" t="s">
        <v>192</v>
      </c>
      <c r="G14" s="1" t="s">
        <v>72</v>
      </c>
      <c r="H14" s="1" t="s">
        <v>74</v>
      </c>
      <c r="I14" s="1" t="s">
        <v>156</v>
      </c>
      <c r="J14" s="1" t="s">
        <v>197</v>
      </c>
    </row>
    <row r="15" spans="1:10" ht="96" customHeight="1">
      <c r="A15" s="1" t="s">
        <v>198</v>
      </c>
      <c r="B15" s="1" t="s">
        <v>199</v>
      </c>
      <c r="C15" s="1" t="s">
        <v>65</v>
      </c>
      <c r="D15" s="1" t="s">
        <v>200</v>
      </c>
      <c r="E15" s="1" t="s">
        <v>71</v>
      </c>
      <c r="F15" s="1" t="s">
        <v>202</v>
      </c>
      <c r="G15" s="1" t="s">
        <v>201</v>
      </c>
      <c r="H15" s="1" t="s">
        <v>168</v>
      </c>
      <c r="I15" s="1" t="s">
        <v>156</v>
      </c>
      <c r="J15" s="1" t="s">
        <v>174</v>
      </c>
    </row>
    <row r="16" spans="1:10" ht="96" customHeight="1">
      <c r="A16" s="1" t="s">
        <v>209</v>
      </c>
      <c r="B16" s="1" t="s">
        <v>210</v>
      </c>
      <c r="C16" s="1" t="s">
        <v>65</v>
      </c>
      <c r="D16" s="1" t="s">
        <v>212</v>
      </c>
      <c r="E16" s="1" t="s">
        <v>213</v>
      </c>
      <c r="F16" s="1" t="s">
        <v>214</v>
      </c>
      <c r="G16" s="1" t="s">
        <v>72</v>
      </c>
      <c r="H16" s="1" t="s">
        <v>136</v>
      </c>
      <c r="I16" s="1" t="s">
        <v>81</v>
      </c>
      <c r="J16" s="1" t="s">
        <v>219</v>
      </c>
    </row>
    <row r="17" spans="1:10" ht="96" customHeight="1">
      <c r="A17" s="1" t="s">
        <v>222</v>
      </c>
      <c r="B17" s="1" t="s">
        <v>223</v>
      </c>
      <c r="C17" s="1" t="s">
        <v>65</v>
      </c>
      <c r="D17" s="1" t="s">
        <v>224</v>
      </c>
      <c r="E17" s="1" t="s">
        <v>71</v>
      </c>
      <c r="F17" s="1" t="s">
        <v>226</v>
      </c>
      <c r="G17" s="1" t="s">
        <v>225</v>
      </c>
      <c r="H17" s="1" t="s">
        <v>168</v>
      </c>
      <c r="I17" s="1" t="s">
        <v>81</v>
      </c>
      <c r="J17" s="1" t="s">
        <v>231</v>
      </c>
    </row>
    <row r="18" spans="1:10" ht="96" customHeight="1">
      <c r="A18" s="1" t="s">
        <v>234</v>
      </c>
      <c r="B18" s="1" t="s">
        <v>235</v>
      </c>
      <c r="C18" s="1" t="s">
        <v>65</v>
      </c>
      <c r="D18" s="1" t="s">
        <v>164</v>
      </c>
      <c r="E18" s="1" t="s">
        <v>237</v>
      </c>
      <c r="F18" s="1" t="s">
        <v>239</v>
      </c>
      <c r="G18" s="1" t="s">
        <v>238</v>
      </c>
      <c r="H18" s="1" t="s">
        <v>168</v>
      </c>
      <c r="I18" s="1" t="s">
        <v>81</v>
      </c>
      <c r="J18" s="1" t="s">
        <v>243</v>
      </c>
    </row>
    <row r="19" spans="1:10" ht="96" customHeight="1">
      <c r="A19" s="1" t="s">
        <v>246</v>
      </c>
      <c r="B19" s="1" t="s">
        <v>247</v>
      </c>
      <c r="C19" s="1" t="s">
        <v>65</v>
      </c>
      <c r="D19" s="1" t="s">
        <v>249</v>
      </c>
      <c r="E19" s="1" t="s">
        <v>71</v>
      </c>
      <c r="F19" s="1" t="s">
        <v>251</v>
      </c>
      <c r="G19" s="1" t="s">
        <v>250</v>
      </c>
      <c r="H19" s="1" t="s">
        <v>168</v>
      </c>
      <c r="I19" s="1" t="s">
        <v>156</v>
      </c>
      <c r="J19" s="1" t="s">
        <v>174</v>
      </c>
    </row>
    <row r="20" spans="1:10" ht="96" customHeight="1">
      <c r="A20" s="1" t="s">
        <v>257</v>
      </c>
      <c r="B20" s="1" t="s">
        <v>258</v>
      </c>
      <c r="C20" s="1" t="s">
        <v>131</v>
      </c>
      <c r="D20" s="1" t="s">
        <v>259</v>
      </c>
      <c r="E20" s="1" t="s">
        <v>260</v>
      </c>
      <c r="F20" s="1" t="s">
        <v>262</v>
      </c>
      <c r="G20" s="1" t="s">
        <v>261</v>
      </c>
      <c r="H20" s="1" t="s">
        <v>168</v>
      </c>
      <c r="I20" s="1" t="s">
        <v>81</v>
      </c>
      <c r="J20" s="1" t="s">
        <v>265</v>
      </c>
    </row>
    <row r="21" spans="1:10" ht="96" customHeight="1">
      <c r="A21" s="1" t="s">
        <v>268</v>
      </c>
      <c r="B21" s="1" t="s">
        <v>269</v>
      </c>
      <c r="C21" s="1" t="s">
        <v>131</v>
      </c>
      <c r="D21" s="1" t="s">
        <v>270</v>
      </c>
      <c r="E21" s="1" t="s">
        <v>271</v>
      </c>
      <c r="F21" s="1" t="s">
        <v>272</v>
      </c>
      <c r="G21" s="1" t="s">
        <v>72</v>
      </c>
      <c r="H21" s="1" t="s">
        <v>74</v>
      </c>
      <c r="I21" s="1" t="s">
        <v>81</v>
      </c>
      <c r="J21" s="1" t="s">
        <v>276</v>
      </c>
    </row>
    <row r="22" spans="1:10" ht="96" customHeight="1">
      <c r="A22" s="1" t="s">
        <v>279</v>
      </c>
      <c r="B22" s="1" t="s">
        <v>280</v>
      </c>
      <c r="C22" s="1" t="s">
        <v>131</v>
      </c>
      <c r="D22" s="1" t="s">
        <v>164</v>
      </c>
      <c r="E22" s="1" t="s">
        <v>281</v>
      </c>
      <c r="F22" s="1" t="s">
        <v>283</v>
      </c>
      <c r="G22" s="1" t="s">
        <v>282</v>
      </c>
      <c r="H22" s="1" t="s">
        <v>168</v>
      </c>
      <c r="I22" s="1" t="s">
        <v>156</v>
      </c>
      <c r="J22" s="1" t="s">
        <v>287</v>
      </c>
    </row>
    <row r="23" spans="1:10" ht="96" customHeight="1">
      <c r="A23" s="1" t="s">
        <v>289</v>
      </c>
      <c r="B23" s="1" t="s">
        <v>290</v>
      </c>
      <c r="C23" s="1" t="s">
        <v>131</v>
      </c>
      <c r="D23" s="1" t="s">
        <v>292</v>
      </c>
      <c r="E23" s="1" t="s">
        <v>293</v>
      </c>
      <c r="F23" s="1" t="s">
        <v>294</v>
      </c>
      <c r="G23" s="1" t="s">
        <v>72</v>
      </c>
      <c r="H23" s="1" t="s">
        <v>74</v>
      </c>
      <c r="I23" s="1" t="s">
        <v>81</v>
      </c>
      <c r="J23" s="1" t="s">
        <v>298</v>
      </c>
    </row>
    <row r="24" spans="1:10" ht="96" customHeight="1">
      <c r="A24" s="1" t="s">
        <v>301</v>
      </c>
      <c r="B24" s="1" t="s">
        <v>302</v>
      </c>
      <c r="C24" s="1" t="s">
        <v>131</v>
      </c>
      <c r="D24" s="1" t="s">
        <v>303</v>
      </c>
      <c r="E24" s="1" t="s">
        <v>281</v>
      </c>
      <c r="F24" s="1" t="s">
        <v>304</v>
      </c>
      <c r="G24" s="1" t="s">
        <v>72</v>
      </c>
      <c r="H24" s="1" t="s">
        <v>74</v>
      </c>
      <c r="I24" s="1" t="s">
        <v>81</v>
      </c>
      <c r="J24" s="1" t="s">
        <v>307</v>
      </c>
    </row>
    <row r="25" spans="1:10" ht="96" customHeight="1">
      <c r="A25" s="1" t="s">
        <v>310</v>
      </c>
      <c r="B25" s="1" t="s">
        <v>311</v>
      </c>
      <c r="C25" s="1" t="s">
        <v>131</v>
      </c>
      <c r="D25" s="1" t="s">
        <v>164</v>
      </c>
      <c r="E25" s="1" t="s">
        <v>281</v>
      </c>
      <c r="F25" s="1" t="s">
        <v>312</v>
      </c>
      <c r="G25" s="1" t="s">
        <v>72</v>
      </c>
      <c r="H25" s="1" t="s">
        <v>74</v>
      </c>
      <c r="I25" s="1" t="s">
        <v>81</v>
      </c>
      <c r="J25" s="1" t="s">
        <v>174</v>
      </c>
    </row>
    <row r="26" spans="1:10" ht="96" customHeight="1">
      <c r="A26" s="1" t="s">
        <v>317</v>
      </c>
      <c r="B26" s="1" t="s">
        <v>318</v>
      </c>
      <c r="C26" s="1" t="s">
        <v>131</v>
      </c>
      <c r="D26" s="1" t="s">
        <v>319</v>
      </c>
      <c r="E26" s="1" t="s">
        <v>281</v>
      </c>
      <c r="F26" s="1" t="s">
        <v>321</v>
      </c>
      <c r="G26" s="1" t="s">
        <v>320</v>
      </c>
      <c r="H26" s="1" t="s">
        <v>168</v>
      </c>
      <c r="I26" s="1" t="s">
        <v>156</v>
      </c>
      <c r="J26" s="1" t="s">
        <v>174</v>
      </c>
    </row>
    <row r="27" spans="1:10" ht="96" customHeight="1">
      <c r="A27" s="1" t="s">
        <v>325</v>
      </c>
      <c r="B27" s="1" t="s">
        <v>326</v>
      </c>
      <c r="C27" s="1" t="s">
        <v>131</v>
      </c>
      <c r="D27" s="1" t="s">
        <v>328</v>
      </c>
      <c r="E27" s="1" t="s">
        <v>329</v>
      </c>
      <c r="F27" s="1" t="s">
        <v>331</v>
      </c>
      <c r="G27" s="1" t="s">
        <v>330</v>
      </c>
      <c r="H27" s="1" t="s">
        <v>168</v>
      </c>
      <c r="I27" s="1" t="s">
        <v>156</v>
      </c>
      <c r="J27" s="1" t="s">
        <v>337</v>
      </c>
    </row>
    <row r="28" spans="1:10" ht="96" customHeight="1">
      <c r="A28" s="1" t="s">
        <v>339</v>
      </c>
      <c r="B28" s="1" t="s">
        <v>340</v>
      </c>
      <c r="C28" s="1" t="s">
        <v>131</v>
      </c>
      <c r="D28" s="1" t="s">
        <v>342</v>
      </c>
      <c r="E28" s="1" t="s">
        <v>343</v>
      </c>
      <c r="F28" s="1" t="s">
        <v>345</v>
      </c>
      <c r="G28" s="1" t="s">
        <v>344</v>
      </c>
      <c r="H28" s="1" t="s">
        <v>346</v>
      </c>
      <c r="I28" s="1" t="s">
        <v>156</v>
      </c>
      <c r="J28" s="1" t="s">
        <v>352</v>
      </c>
    </row>
    <row r="29" spans="1:10" ht="96" customHeight="1">
      <c r="A29" s="1" t="s">
        <v>354</v>
      </c>
      <c r="B29" s="1" t="s">
        <v>355</v>
      </c>
      <c r="C29" s="1" t="s">
        <v>131</v>
      </c>
      <c r="D29" s="1" t="s">
        <v>357</v>
      </c>
      <c r="E29" s="1" t="s">
        <v>358</v>
      </c>
      <c r="F29" s="1" t="s">
        <v>359</v>
      </c>
      <c r="G29" s="1" t="s">
        <v>72</v>
      </c>
      <c r="H29" s="1" t="s">
        <v>74</v>
      </c>
      <c r="I29" s="1" t="s">
        <v>156</v>
      </c>
      <c r="J29" s="1" t="s">
        <v>174</v>
      </c>
    </row>
    <row r="30" spans="1:10" ht="96" customHeight="1">
      <c r="A30" s="1" t="s">
        <v>365</v>
      </c>
      <c r="B30" s="1" t="s">
        <v>366</v>
      </c>
      <c r="C30" s="1" t="s">
        <v>131</v>
      </c>
      <c r="D30" s="1" t="s">
        <v>180</v>
      </c>
      <c r="E30" s="1" t="s">
        <v>367</v>
      </c>
      <c r="F30" s="1" t="s">
        <v>369</v>
      </c>
      <c r="G30" s="1" t="s">
        <v>368</v>
      </c>
      <c r="H30" s="1" t="s">
        <v>370</v>
      </c>
      <c r="I30" s="1" t="s">
        <v>156</v>
      </c>
      <c r="J30" s="1" t="s">
        <v>376</v>
      </c>
    </row>
  </sheetData>
  <mergeCells count="2">
    <mergeCell ref="A1:J1"/>
    <mergeCell ref="A2:J3"/>
  </mergeCells>
  <pageMargins left="0.7" right="0.7" top="0.75" bottom="0.75" header="0.3" footer="0.3"/>
  <pageSetup paperSize="9" fitToHeight="0" orientation="landscape"/>
  <headerFooter>
    <oddFooter>&amp;LPoranki dehydrated fruit research &amp;RPage &amp;P of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pageSetUpPr fitToPage="1"/>
  </sheetPr>
  <dimension ref="A1:G10"/>
  <sheetViews>
    <sheetView showGridLines="0" workbookViewId="0">
      <pane ySplit="5" topLeftCell="A6" activePane="bottomLeft" state="frozen"/>
      <selection pane="bottomLeft"/>
    </sheetView>
  </sheetViews>
  <sheetFormatPr defaultRowHeight="15"/>
  <cols>
    <col min="1" max="1" width="10.7109375" style="1" customWidth="1"/>
    <col min="2" max="2" width="29.7109375" style="1" customWidth="1"/>
    <col min="3" max="3" width="38.7109375" style="1" customWidth="1"/>
    <col min="4" max="4" width="43.7109375" style="1" customWidth="1"/>
    <col min="5" max="5" width="74.7109375" style="1" customWidth="1"/>
    <col min="6" max="6" width="80.7109375" style="1" customWidth="1"/>
    <col min="7" max="7" width="18.7109375" style="1" customWidth="1"/>
  </cols>
  <sheetData>
    <row r="1" spans="1:7" ht="33.75" customHeight="1">
      <c r="A1" s="2" t="s">
        <v>757</v>
      </c>
      <c r="B1" s="2"/>
      <c r="C1" s="2"/>
      <c r="D1" s="2"/>
      <c r="E1" s="2"/>
      <c r="F1" s="2"/>
      <c r="G1" s="2"/>
    </row>
    <row r="2" spans="1:7" ht="24" customHeight="1">
      <c r="A2" s="3" t="s">
        <v>758</v>
      </c>
      <c r="B2" s="3"/>
      <c r="C2" s="3"/>
      <c r="D2" s="3"/>
      <c r="E2" s="3"/>
      <c r="F2" s="3"/>
      <c r="G2" s="3"/>
    </row>
    <row r="3" spans="1:7" ht="24" customHeight="1">
      <c r="A3" s="3"/>
      <c r="B3" s="3"/>
      <c r="C3" s="3"/>
      <c r="D3" s="3"/>
      <c r="E3" s="3"/>
      <c r="F3" s="3"/>
      <c r="G3" s="3"/>
    </row>
    <row r="5" spans="1:7" ht="32.25" customHeight="1">
      <c r="A5" s="6" t="s">
        <v>759</v>
      </c>
      <c r="B5" s="6" t="s">
        <v>760</v>
      </c>
      <c r="C5" s="6" t="s">
        <v>761</v>
      </c>
      <c r="D5" s="6" t="s">
        <v>762</v>
      </c>
      <c r="E5" s="6" t="s">
        <v>763</v>
      </c>
      <c r="F5" s="6" t="s">
        <v>764</v>
      </c>
      <c r="G5" s="6" t="s">
        <v>765</v>
      </c>
    </row>
    <row r="6" spans="1:7" ht="120" customHeight="1">
      <c r="A6" s="1">
        <v>1</v>
      </c>
      <c r="B6" s="1" t="s">
        <v>766</v>
      </c>
      <c r="C6" s="1" t="s">
        <v>767</v>
      </c>
      <c r="D6" s="1" t="s">
        <v>768</v>
      </c>
      <c r="E6" s="1" t="s">
        <v>769</v>
      </c>
      <c r="F6" s="1" t="s">
        <v>770</v>
      </c>
      <c r="G6" s="1" t="s">
        <v>771</v>
      </c>
    </row>
    <row r="7" spans="1:7" ht="120" customHeight="1">
      <c r="A7" s="1">
        <v>2</v>
      </c>
      <c r="B7" s="1" t="s">
        <v>772</v>
      </c>
      <c r="C7" s="1" t="s">
        <v>773</v>
      </c>
      <c r="D7" s="1" t="s">
        <v>774</v>
      </c>
      <c r="E7" s="1" t="s">
        <v>775</v>
      </c>
      <c r="F7" s="1" t="s">
        <v>776</v>
      </c>
      <c r="G7" s="1" t="s">
        <v>777</v>
      </c>
    </row>
    <row r="8" spans="1:7" ht="120" customHeight="1">
      <c r="A8" s="1">
        <v>3</v>
      </c>
      <c r="B8" s="1" t="s">
        <v>778</v>
      </c>
      <c r="C8" s="1" t="s">
        <v>779</v>
      </c>
      <c r="D8" s="1" t="s">
        <v>780</v>
      </c>
      <c r="E8" s="1" t="s">
        <v>781</v>
      </c>
      <c r="F8" s="1" t="s">
        <v>782</v>
      </c>
      <c r="G8" s="1" t="s">
        <v>783</v>
      </c>
    </row>
    <row r="9" spans="1:7" ht="120" customHeight="1">
      <c r="A9" s="1">
        <v>4</v>
      </c>
      <c r="B9" s="1" t="s">
        <v>784</v>
      </c>
      <c r="C9" s="1" t="s">
        <v>785</v>
      </c>
      <c r="D9" s="1" t="s">
        <v>786</v>
      </c>
      <c r="E9" s="1" t="s">
        <v>787</v>
      </c>
      <c r="F9" s="1" t="s">
        <v>788</v>
      </c>
      <c r="G9" s="1" t="s">
        <v>789</v>
      </c>
    </row>
    <row r="10" spans="1:7" ht="120" customHeight="1">
      <c r="A10" s="1">
        <v>5</v>
      </c>
      <c r="B10" s="1" t="s">
        <v>790</v>
      </c>
      <c r="C10" s="1" t="s">
        <v>791</v>
      </c>
      <c r="D10" s="1" t="s">
        <v>792</v>
      </c>
      <c r="E10" s="1" t="s">
        <v>793</v>
      </c>
      <c r="F10" s="1" t="s">
        <v>794</v>
      </c>
      <c r="G10" s="1" t="s">
        <v>795</v>
      </c>
    </row>
  </sheetData>
  <mergeCells count="2">
    <mergeCell ref="A1:G1"/>
    <mergeCell ref="A2:G3"/>
  </mergeCells>
  <pageMargins left="0.7" right="0.7" top="0.75" bottom="0.75" header="0.3" footer="0.3"/>
  <pageSetup paperSize="9" fitToHeight="0" orientation="landscape"/>
  <headerFooter>
    <oddFooter>&amp;LPoranki dehydrated fruit research &amp;RPage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pageSetUpPr fitToPage="1"/>
  </sheetPr>
  <dimension ref="A1:D10"/>
  <sheetViews>
    <sheetView showGridLines="0" workbookViewId="0">
      <pane ySplit="5" topLeftCell="A6" activePane="bottomLeft" state="frozen"/>
      <selection pane="bottomLeft"/>
    </sheetView>
  </sheetViews>
  <sheetFormatPr defaultRowHeight="15"/>
  <cols>
    <col min="1" max="1" width="37.7109375" style="1" customWidth="1"/>
    <col min="2" max="2" width="65.7109375" style="1" customWidth="1"/>
    <col min="3" max="3" width="37.7109375" style="1" customWidth="1"/>
    <col min="4" max="4" width="90.7109375" style="1" customWidth="1"/>
  </cols>
  <sheetData>
    <row r="1" spans="1:4" ht="33.75" customHeight="1">
      <c r="A1" s="2" t="s">
        <v>796</v>
      </c>
      <c r="B1" s="2"/>
      <c r="C1" s="2"/>
      <c r="D1" s="2"/>
    </row>
    <row r="2" spans="1:4" ht="24" customHeight="1">
      <c r="A2" s="3" t="s">
        <v>797</v>
      </c>
      <c r="B2" s="3"/>
      <c r="C2" s="3"/>
      <c r="D2" s="3"/>
    </row>
    <row r="3" spans="1:4" ht="24" customHeight="1">
      <c r="A3" s="3"/>
      <c r="B3" s="3"/>
      <c r="C3" s="3"/>
      <c r="D3" s="3"/>
    </row>
    <row r="5" spans="1:4" ht="32.25" customHeight="1">
      <c r="A5" s="6" t="s">
        <v>41</v>
      </c>
      <c r="B5" s="6" t="s">
        <v>798</v>
      </c>
      <c r="C5" s="6" t="s">
        <v>799</v>
      </c>
      <c r="D5" s="6" t="s">
        <v>800</v>
      </c>
    </row>
    <row r="6" spans="1:4" ht="102" customHeight="1">
      <c r="A6" s="1" t="s">
        <v>801</v>
      </c>
      <c r="B6" s="1" t="s">
        <v>802</v>
      </c>
      <c r="C6" s="1" t="s">
        <v>503</v>
      </c>
      <c r="D6" s="1" t="s">
        <v>803</v>
      </c>
    </row>
    <row r="7" spans="1:4" ht="102" customHeight="1">
      <c r="A7" s="1" t="s">
        <v>804</v>
      </c>
      <c r="B7" s="1" t="s">
        <v>805</v>
      </c>
      <c r="C7" s="1" t="s">
        <v>806</v>
      </c>
      <c r="D7" s="1" t="s">
        <v>807</v>
      </c>
    </row>
    <row r="8" spans="1:4" ht="102" customHeight="1">
      <c r="A8" s="1" t="s">
        <v>808</v>
      </c>
      <c r="B8" s="1" t="s">
        <v>809</v>
      </c>
      <c r="C8" s="1" t="s">
        <v>810</v>
      </c>
      <c r="D8" s="1" t="s">
        <v>811</v>
      </c>
    </row>
    <row r="9" spans="1:4" ht="102" customHeight="1">
      <c r="A9" s="1" t="s">
        <v>812</v>
      </c>
      <c r="B9" s="1" t="s">
        <v>813</v>
      </c>
      <c r="C9" s="1" t="s">
        <v>814</v>
      </c>
      <c r="D9" s="1" t="s">
        <v>815</v>
      </c>
    </row>
    <row r="10" spans="1:4" ht="102" customHeight="1">
      <c r="A10" s="1" t="s">
        <v>816</v>
      </c>
      <c r="B10" s="1" t="s">
        <v>817</v>
      </c>
      <c r="C10" s="1" t="s">
        <v>818</v>
      </c>
      <c r="D10" s="1" t="s">
        <v>819</v>
      </c>
    </row>
  </sheetData>
  <mergeCells count="2">
    <mergeCell ref="A1:D1"/>
    <mergeCell ref="A2:D3"/>
  </mergeCells>
  <pageMargins left="0.7" right="0.7" top="0.75" bottom="0.75" header="0.3" footer="0.3"/>
  <pageSetup paperSize="9" fitToHeight="0" orientation="landscape"/>
  <headerFooter>
    <oddFooter>&amp;LPoranki dehydrated fruit research &amp;RPage &amp;P of &amp;N</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pageSetUpPr fitToPage="1"/>
  </sheetPr>
  <dimension ref="A1:D12"/>
  <sheetViews>
    <sheetView showGridLines="0" workbookViewId="0">
      <pane ySplit="5" topLeftCell="A6" activePane="bottomLeft" state="frozen"/>
      <selection pane="bottomLeft"/>
    </sheetView>
  </sheetViews>
  <sheetFormatPr defaultRowHeight="15"/>
  <cols>
    <col min="1" max="1" width="31.7109375" style="1" customWidth="1"/>
    <col min="2" max="2" width="62.7109375" style="1" customWidth="1"/>
    <col min="3" max="3" width="125.7109375" style="1" customWidth="1"/>
    <col min="4" max="4" width="36.7109375" style="1" customWidth="1"/>
  </cols>
  <sheetData>
    <row r="1" spans="1:4" ht="33.75" customHeight="1">
      <c r="A1" s="2" t="s">
        <v>820</v>
      </c>
      <c r="B1" s="2"/>
      <c r="C1" s="2"/>
      <c r="D1" s="2"/>
    </row>
    <row r="2" spans="1:4" ht="24" customHeight="1">
      <c r="A2" s="3" t="s">
        <v>821</v>
      </c>
      <c r="B2" s="3"/>
      <c r="C2" s="3"/>
      <c r="D2" s="3"/>
    </row>
    <row r="3" spans="1:4" ht="24" customHeight="1">
      <c r="A3" s="3"/>
      <c r="B3" s="3"/>
      <c r="C3" s="3"/>
      <c r="D3" s="3"/>
    </row>
    <row r="5" spans="1:4" ht="32.25" customHeight="1">
      <c r="A5" s="6" t="s">
        <v>822</v>
      </c>
      <c r="B5" s="6" t="s">
        <v>823</v>
      </c>
      <c r="C5" s="6" t="s">
        <v>824</v>
      </c>
      <c r="D5" s="6" t="s">
        <v>825</v>
      </c>
    </row>
    <row r="6" spans="1:4" ht="290.25" customHeight="1">
      <c r="A6" s="1" t="s">
        <v>826</v>
      </c>
      <c r="B6" s="1" t="s">
        <v>827</v>
      </c>
      <c r="C6" s="1" t="s">
        <v>828</v>
      </c>
      <c r="D6" s="1" t="s">
        <v>829</v>
      </c>
    </row>
    <row r="7" spans="1:4" ht="290.25" customHeight="1">
      <c r="A7" s="1" t="s">
        <v>830</v>
      </c>
      <c r="B7" s="1" t="s">
        <v>831</v>
      </c>
      <c r="C7" s="1" t="s">
        <v>832</v>
      </c>
      <c r="D7" s="1" t="s">
        <v>829</v>
      </c>
    </row>
    <row r="8" spans="1:4" ht="290.25" customHeight="1">
      <c r="A8" s="1" t="s">
        <v>833</v>
      </c>
      <c r="B8" s="1" t="s">
        <v>834</v>
      </c>
      <c r="C8" s="1" t="s">
        <v>835</v>
      </c>
      <c r="D8" s="1" t="s">
        <v>829</v>
      </c>
    </row>
    <row r="9" spans="1:4" ht="290.25" customHeight="1">
      <c r="A9" s="1" t="s">
        <v>836</v>
      </c>
      <c r="B9" s="1" t="s">
        <v>837</v>
      </c>
      <c r="C9" s="1" t="s">
        <v>838</v>
      </c>
      <c r="D9" s="1" t="s">
        <v>829</v>
      </c>
    </row>
    <row r="10" spans="1:4" ht="290.25" customHeight="1">
      <c r="A10" s="1" t="s">
        <v>839</v>
      </c>
      <c r="B10" s="1" t="s">
        <v>840</v>
      </c>
      <c r="C10" s="1" t="s">
        <v>841</v>
      </c>
      <c r="D10" s="1" t="s">
        <v>829</v>
      </c>
    </row>
    <row r="11" spans="1:4" ht="290.25" customHeight="1">
      <c r="A11" s="1" t="s">
        <v>842</v>
      </c>
      <c r="B11" s="1" t="s">
        <v>843</v>
      </c>
      <c r="C11" s="1" t="s">
        <v>844</v>
      </c>
      <c r="D11" s="1" t="s">
        <v>829</v>
      </c>
    </row>
    <row r="12" spans="1:4" ht="290.25" customHeight="1">
      <c r="A12" s="1" t="s">
        <v>845</v>
      </c>
      <c r="B12" s="1" t="s">
        <v>846</v>
      </c>
      <c r="C12" s="1" t="s">
        <v>847</v>
      </c>
      <c r="D12" s="1" t="s">
        <v>829</v>
      </c>
    </row>
  </sheetData>
  <mergeCells count="2">
    <mergeCell ref="A1:D1"/>
    <mergeCell ref="A2:D3"/>
  </mergeCells>
  <pageMargins left="0.7" right="0.7" top="0.75" bottom="0.75" header="0.3" footer="0.3"/>
  <pageSetup paperSize="9" fitToHeight="0" orientation="landscape"/>
  <headerFooter>
    <oddFooter>&amp;LPoranki dehydrated fruit research &amp;RPage &amp;P of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pageSetUpPr fitToPage="1"/>
  </sheetPr>
  <dimension ref="A1:N55"/>
  <sheetViews>
    <sheetView showGridLines="0"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11.7109375" style="1" customWidth="1"/>
    <col min="2" max="2" width="40.7109375" style="1" customWidth="1"/>
    <col min="3" max="3" width="20.7109375" style="1" customWidth="1"/>
    <col min="4" max="4" width="25.7109375" style="1" customWidth="1"/>
    <col min="5" max="5" width="28.7109375" style="1" customWidth="1"/>
    <col min="6" max="6" width="25.7109375" style="1" customWidth="1"/>
    <col min="7" max="7" width="29.7109375" style="1" customWidth="1"/>
    <col min="8" max="8" width="35.7109375" style="1" customWidth="1"/>
    <col min="9" max="9" width="22.7109375" style="1" customWidth="1"/>
    <col min="10" max="10" width="23.7109375" style="1" customWidth="1"/>
    <col min="11" max="11" width="27.7109375" style="1" customWidth="1"/>
    <col min="12" max="12" width="25.7109375" style="1" customWidth="1"/>
    <col min="13" max="13" width="22.7109375" style="1" customWidth="1"/>
    <col min="14" max="14" width="48.7109375" style="1" customWidth="1"/>
  </cols>
  <sheetData>
    <row r="1" spans="1:14" ht="33.75" customHeight="1">
      <c r="A1" s="2" t="s">
        <v>848</v>
      </c>
      <c r="B1" s="2"/>
      <c r="C1" s="2"/>
      <c r="D1" s="2"/>
      <c r="E1" s="2"/>
      <c r="F1" s="2"/>
      <c r="G1" s="2"/>
      <c r="H1" s="2"/>
      <c r="I1" s="2"/>
      <c r="J1" s="2"/>
      <c r="K1" s="2"/>
      <c r="L1" s="2"/>
      <c r="M1" s="2"/>
      <c r="N1" s="2"/>
    </row>
    <row r="2" spans="1:14" ht="24" customHeight="1">
      <c r="A2" s="3" t="s">
        <v>849</v>
      </c>
      <c r="B2" s="3"/>
      <c r="C2" s="3"/>
      <c r="D2" s="3"/>
      <c r="E2" s="3"/>
      <c r="F2" s="3"/>
      <c r="G2" s="3"/>
      <c r="H2" s="3"/>
      <c r="I2" s="3"/>
      <c r="J2" s="3"/>
      <c r="K2" s="3"/>
      <c r="L2" s="3"/>
      <c r="M2" s="3"/>
      <c r="N2" s="3"/>
    </row>
    <row r="3" spans="1:14" ht="24" customHeight="1">
      <c r="A3" s="3"/>
      <c r="B3" s="3"/>
      <c r="C3" s="3"/>
      <c r="D3" s="3"/>
      <c r="E3" s="3"/>
      <c r="F3" s="3"/>
      <c r="G3" s="3"/>
      <c r="H3" s="3"/>
      <c r="I3" s="3"/>
      <c r="J3" s="3"/>
      <c r="K3" s="3"/>
      <c r="L3" s="3"/>
      <c r="M3" s="3"/>
      <c r="N3" s="3"/>
    </row>
    <row r="5" spans="1:14" ht="32.25" customHeight="1">
      <c r="A5" s="6" t="s">
        <v>38</v>
      </c>
      <c r="B5" s="6" t="s">
        <v>750</v>
      </c>
      <c r="C5" s="6" t="s">
        <v>850</v>
      </c>
      <c r="D5" s="6" t="s">
        <v>825</v>
      </c>
      <c r="E5" s="6" t="s">
        <v>851</v>
      </c>
      <c r="F5" s="6" t="s">
        <v>852</v>
      </c>
      <c r="G5" s="6" t="s">
        <v>853</v>
      </c>
      <c r="H5" s="6" t="s">
        <v>854</v>
      </c>
      <c r="I5" s="6" t="s">
        <v>855</v>
      </c>
      <c r="J5" s="6" t="s">
        <v>856</v>
      </c>
      <c r="K5" s="6" t="s">
        <v>857</v>
      </c>
      <c r="L5" s="6" t="s">
        <v>858</v>
      </c>
      <c r="M5" s="6" t="s">
        <v>859</v>
      </c>
      <c r="N5" s="6" t="s">
        <v>860</v>
      </c>
    </row>
    <row r="6" spans="1:14" ht="62.25" customHeight="1">
      <c r="A6" s="1" t="s">
        <v>64</v>
      </c>
      <c r="B6" s="1" t="s">
        <v>66</v>
      </c>
      <c r="D6" s="1" t="s">
        <v>88</v>
      </c>
    </row>
    <row r="7" spans="1:14" ht="62.25" customHeight="1">
      <c r="A7" s="1" t="s">
        <v>89</v>
      </c>
      <c r="B7" s="1" t="s">
        <v>90</v>
      </c>
      <c r="D7" s="1" t="s">
        <v>88</v>
      </c>
    </row>
    <row r="8" spans="1:14" ht="62.25" customHeight="1">
      <c r="A8" s="1" t="s">
        <v>103</v>
      </c>
      <c r="B8" s="1" t="s">
        <v>104</v>
      </c>
      <c r="D8" s="1" t="s">
        <v>88</v>
      </c>
    </row>
    <row r="9" spans="1:14" ht="62.25" customHeight="1">
      <c r="A9" s="1" t="s">
        <v>117</v>
      </c>
      <c r="B9" s="1" t="s">
        <v>118</v>
      </c>
      <c r="D9" s="1" t="s">
        <v>88</v>
      </c>
    </row>
    <row r="10" spans="1:14" ht="62.25" customHeight="1">
      <c r="A10" s="1" t="s">
        <v>130</v>
      </c>
      <c r="B10" s="1" t="s">
        <v>132</v>
      </c>
      <c r="D10" s="1" t="s">
        <v>88</v>
      </c>
    </row>
    <row r="11" spans="1:14" ht="62.25" customHeight="1">
      <c r="A11" s="1" t="s">
        <v>144</v>
      </c>
      <c r="B11" s="1" t="s">
        <v>146</v>
      </c>
      <c r="D11" s="1" t="s">
        <v>88</v>
      </c>
    </row>
    <row r="12" spans="1:14" ht="62.25" customHeight="1">
      <c r="A12" s="1" t="s">
        <v>160</v>
      </c>
      <c r="B12" s="1" t="s">
        <v>161</v>
      </c>
      <c r="D12" s="1" t="s">
        <v>88</v>
      </c>
    </row>
    <row r="13" spans="1:14" ht="62.25" customHeight="1">
      <c r="A13" s="1" t="s">
        <v>177</v>
      </c>
      <c r="B13" s="1" t="s">
        <v>178</v>
      </c>
      <c r="D13" s="1" t="s">
        <v>88</v>
      </c>
    </row>
    <row r="14" spans="1:14" ht="62.25" customHeight="1">
      <c r="A14" s="1" t="s">
        <v>187</v>
      </c>
      <c r="B14" s="1" t="s">
        <v>188</v>
      </c>
      <c r="D14" s="1" t="s">
        <v>88</v>
      </c>
    </row>
    <row r="15" spans="1:14" ht="62.25" customHeight="1">
      <c r="A15" s="1" t="s">
        <v>198</v>
      </c>
      <c r="B15" s="1" t="s">
        <v>199</v>
      </c>
      <c r="D15" s="1" t="s">
        <v>88</v>
      </c>
    </row>
    <row r="16" spans="1:14" ht="62.25" customHeight="1">
      <c r="A16" s="1" t="s">
        <v>209</v>
      </c>
      <c r="B16" s="1" t="s">
        <v>210</v>
      </c>
      <c r="D16" s="1" t="s">
        <v>88</v>
      </c>
    </row>
    <row r="17" spans="1:4" ht="62.25" customHeight="1">
      <c r="A17" s="1" t="s">
        <v>222</v>
      </c>
      <c r="B17" s="1" t="s">
        <v>223</v>
      </c>
      <c r="D17" s="1" t="s">
        <v>88</v>
      </c>
    </row>
    <row r="18" spans="1:4" ht="62.25" customHeight="1">
      <c r="A18" s="1" t="s">
        <v>234</v>
      </c>
      <c r="B18" s="1" t="s">
        <v>235</v>
      </c>
      <c r="D18" s="1" t="s">
        <v>88</v>
      </c>
    </row>
    <row r="19" spans="1:4" ht="62.25" customHeight="1">
      <c r="A19" s="1" t="s">
        <v>246</v>
      </c>
      <c r="B19" s="1" t="s">
        <v>247</v>
      </c>
      <c r="D19" s="1" t="s">
        <v>88</v>
      </c>
    </row>
    <row r="20" spans="1:4" ht="62.25" customHeight="1">
      <c r="A20" s="1" t="s">
        <v>257</v>
      </c>
      <c r="B20" s="1" t="s">
        <v>258</v>
      </c>
      <c r="D20" s="1" t="s">
        <v>88</v>
      </c>
    </row>
    <row r="21" spans="1:4" ht="62.25" customHeight="1">
      <c r="A21" s="1" t="s">
        <v>268</v>
      </c>
      <c r="B21" s="1" t="s">
        <v>269</v>
      </c>
      <c r="D21" s="1" t="s">
        <v>88</v>
      </c>
    </row>
    <row r="22" spans="1:4" ht="62.25" customHeight="1">
      <c r="A22" s="1" t="s">
        <v>279</v>
      </c>
      <c r="B22" s="1" t="s">
        <v>280</v>
      </c>
      <c r="D22" s="1" t="s">
        <v>88</v>
      </c>
    </row>
    <row r="23" spans="1:4" ht="62.25" customHeight="1">
      <c r="A23" s="1" t="s">
        <v>289</v>
      </c>
      <c r="B23" s="1" t="s">
        <v>290</v>
      </c>
      <c r="D23" s="1" t="s">
        <v>88</v>
      </c>
    </row>
    <row r="24" spans="1:4" ht="62.25" customHeight="1">
      <c r="A24" s="1" t="s">
        <v>301</v>
      </c>
      <c r="B24" s="1" t="s">
        <v>302</v>
      </c>
      <c r="D24" s="1" t="s">
        <v>88</v>
      </c>
    </row>
    <row r="25" spans="1:4" ht="62.25" customHeight="1">
      <c r="A25" s="1" t="s">
        <v>310</v>
      </c>
      <c r="B25" s="1" t="s">
        <v>311</v>
      </c>
      <c r="D25" s="1" t="s">
        <v>88</v>
      </c>
    </row>
    <row r="26" spans="1:4" ht="62.25" customHeight="1">
      <c r="A26" s="1" t="s">
        <v>317</v>
      </c>
      <c r="B26" s="1" t="s">
        <v>318</v>
      </c>
      <c r="D26" s="1" t="s">
        <v>88</v>
      </c>
    </row>
    <row r="27" spans="1:4" ht="62.25" customHeight="1">
      <c r="A27" s="1" t="s">
        <v>325</v>
      </c>
      <c r="B27" s="1" t="s">
        <v>326</v>
      </c>
      <c r="D27" s="1" t="s">
        <v>88</v>
      </c>
    </row>
    <row r="28" spans="1:4" ht="62.25" customHeight="1">
      <c r="A28" s="1" t="s">
        <v>339</v>
      </c>
      <c r="B28" s="1" t="s">
        <v>340</v>
      </c>
      <c r="D28" s="1" t="s">
        <v>88</v>
      </c>
    </row>
    <row r="29" spans="1:4" ht="62.25" customHeight="1">
      <c r="A29" s="1" t="s">
        <v>354</v>
      </c>
      <c r="B29" s="1" t="s">
        <v>355</v>
      </c>
      <c r="D29" s="1" t="s">
        <v>88</v>
      </c>
    </row>
    <row r="30" spans="1:4" ht="62.25" customHeight="1">
      <c r="A30" s="1" t="s">
        <v>365</v>
      </c>
      <c r="B30" s="1" t="s">
        <v>366</v>
      </c>
      <c r="D30" s="1" t="s">
        <v>88</v>
      </c>
    </row>
    <row r="31" spans="1:4" ht="62.25" customHeight="1">
      <c r="A31" s="1" t="s">
        <v>378</v>
      </c>
      <c r="B31" s="1" t="s">
        <v>379</v>
      </c>
      <c r="D31" s="1" t="s">
        <v>88</v>
      </c>
    </row>
    <row r="32" spans="1:4" ht="62.25" customHeight="1">
      <c r="A32" s="1" t="s">
        <v>395</v>
      </c>
      <c r="B32" s="1" t="s">
        <v>396</v>
      </c>
      <c r="D32" s="1" t="s">
        <v>88</v>
      </c>
    </row>
    <row r="33" spans="1:4" ht="62.25" customHeight="1">
      <c r="A33" s="1" t="s">
        <v>410</v>
      </c>
      <c r="B33" s="1" t="s">
        <v>411</v>
      </c>
      <c r="D33" s="1" t="s">
        <v>88</v>
      </c>
    </row>
    <row r="34" spans="1:4" ht="62.25" customHeight="1">
      <c r="A34" s="1" t="s">
        <v>426</v>
      </c>
      <c r="B34" s="1" t="s">
        <v>427</v>
      </c>
      <c r="D34" s="1" t="s">
        <v>88</v>
      </c>
    </row>
    <row r="35" spans="1:4" ht="62.25" customHeight="1">
      <c r="A35" s="1" t="s">
        <v>440</v>
      </c>
      <c r="B35" s="1" t="s">
        <v>441</v>
      </c>
      <c r="D35" s="1" t="s">
        <v>88</v>
      </c>
    </row>
    <row r="36" spans="1:4" ht="62.25" customHeight="1">
      <c r="A36" s="1" t="s">
        <v>452</v>
      </c>
      <c r="B36" s="1" t="s">
        <v>453</v>
      </c>
      <c r="D36" s="1" t="s">
        <v>88</v>
      </c>
    </row>
    <row r="37" spans="1:4" ht="62.25" customHeight="1">
      <c r="A37" s="1" t="s">
        <v>466</v>
      </c>
      <c r="B37" s="1" t="s">
        <v>467</v>
      </c>
      <c r="D37" s="1" t="s">
        <v>88</v>
      </c>
    </row>
    <row r="38" spans="1:4" ht="62.25" customHeight="1">
      <c r="A38" s="1" t="s">
        <v>481</v>
      </c>
      <c r="B38" s="1" t="s">
        <v>482</v>
      </c>
      <c r="D38" s="1" t="s">
        <v>88</v>
      </c>
    </row>
    <row r="39" spans="1:4" ht="62.25" customHeight="1">
      <c r="A39" s="1" t="s">
        <v>497</v>
      </c>
      <c r="B39" s="1" t="s">
        <v>498</v>
      </c>
      <c r="D39" s="1" t="s">
        <v>88</v>
      </c>
    </row>
    <row r="40" spans="1:4" ht="62.25" customHeight="1">
      <c r="A40" s="1" t="s">
        <v>511</v>
      </c>
      <c r="B40" s="1" t="s">
        <v>512</v>
      </c>
      <c r="D40" s="1" t="s">
        <v>88</v>
      </c>
    </row>
    <row r="41" spans="1:4" ht="62.25" customHeight="1">
      <c r="A41" s="1" t="s">
        <v>525</v>
      </c>
      <c r="B41" s="1" t="s">
        <v>526</v>
      </c>
      <c r="D41" s="1" t="s">
        <v>88</v>
      </c>
    </row>
    <row r="42" spans="1:4" ht="62.25" customHeight="1">
      <c r="A42" s="1" t="s">
        <v>539</v>
      </c>
      <c r="B42" s="1" t="s">
        <v>540</v>
      </c>
      <c r="D42" s="1" t="s">
        <v>88</v>
      </c>
    </row>
    <row r="43" spans="1:4" ht="62.25" customHeight="1">
      <c r="A43" s="1" t="s">
        <v>551</v>
      </c>
      <c r="B43" s="1" t="s">
        <v>552</v>
      </c>
      <c r="D43" s="1" t="s">
        <v>88</v>
      </c>
    </row>
    <row r="44" spans="1:4" ht="62.25" customHeight="1">
      <c r="A44" s="1" t="s">
        <v>565</v>
      </c>
      <c r="B44" s="1" t="s">
        <v>566</v>
      </c>
      <c r="D44" s="1" t="s">
        <v>88</v>
      </c>
    </row>
    <row r="45" spans="1:4" ht="62.25" customHeight="1">
      <c r="A45" s="1" t="s">
        <v>577</v>
      </c>
      <c r="B45" s="1" t="s">
        <v>578</v>
      </c>
      <c r="D45" s="1" t="s">
        <v>88</v>
      </c>
    </row>
    <row r="46" spans="1:4" ht="62.25" customHeight="1">
      <c r="A46" s="1" t="s">
        <v>593</v>
      </c>
      <c r="B46" s="1" t="s">
        <v>594</v>
      </c>
      <c r="D46" s="1" t="s">
        <v>88</v>
      </c>
    </row>
    <row r="47" spans="1:4" ht="62.25" customHeight="1">
      <c r="A47" s="1" t="s">
        <v>608</v>
      </c>
      <c r="B47" s="1" t="s">
        <v>609</v>
      </c>
      <c r="D47" s="1" t="s">
        <v>88</v>
      </c>
    </row>
    <row r="48" spans="1:4" ht="62.25" customHeight="1">
      <c r="A48" s="1" t="s">
        <v>621</v>
      </c>
      <c r="B48" s="1" t="s">
        <v>622</v>
      </c>
      <c r="D48" s="1" t="s">
        <v>88</v>
      </c>
    </row>
    <row r="49" spans="1:4" ht="62.25" customHeight="1">
      <c r="A49" s="1" t="s">
        <v>639</v>
      </c>
      <c r="B49" s="1" t="s">
        <v>640</v>
      </c>
      <c r="D49" s="1" t="s">
        <v>88</v>
      </c>
    </row>
    <row r="50" spans="1:4" ht="62.25" customHeight="1">
      <c r="A50" s="1" t="s">
        <v>655</v>
      </c>
      <c r="B50" s="1" t="s">
        <v>656</v>
      </c>
      <c r="D50" s="1" t="s">
        <v>88</v>
      </c>
    </row>
    <row r="51" spans="1:4" ht="62.25" customHeight="1">
      <c r="A51" s="1" t="s">
        <v>674</v>
      </c>
      <c r="B51" s="1" t="s">
        <v>675</v>
      </c>
      <c r="D51" s="1" t="s">
        <v>88</v>
      </c>
    </row>
    <row r="52" spans="1:4" ht="62.25" customHeight="1">
      <c r="A52" s="1" t="s">
        <v>687</v>
      </c>
      <c r="B52" s="1" t="s">
        <v>688</v>
      </c>
      <c r="D52" s="1" t="s">
        <v>88</v>
      </c>
    </row>
    <row r="53" spans="1:4" ht="62.25" customHeight="1">
      <c r="A53" s="1" t="s">
        <v>706</v>
      </c>
      <c r="B53" s="1" t="s">
        <v>707</v>
      </c>
      <c r="D53" s="1" t="s">
        <v>88</v>
      </c>
    </row>
    <row r="54" spans="1:4" ht="62.25" customHeight="1">
      <c r="A54" s="1" t="s">
        <v>721</v>
      </c>
      <c r="B54" s="1" t="s">
        <v>722</v>
      </c>
      <c r="D54" s="1" t="s">
        <v>88</v>
      </c>
    </row>
    <row r="55" spans="1:4" ht="62.25" customHeight="1">
      <c r="A55" s="1" t="s">
        <v>735</v>
      </c>
      <c r="B55" s="1" t="s">
        <v>736</v>
      </c>
      <c r="D55" s="1" t="s">
        <v>88</v>
      </c>
    </row>
  </sheetData>
  <mergeCells count="2">
    <mergeCell ref="A1:N1"/>
    <mergeCell ref="A2:N3"/>
  </mergeCells>
  <dataValidations count="3">
    <dataValidation type="list" allowBlank="1" showInputMessage="1" showErrorMessage="1" sqref="D6:D55">
      <formula1>"Not contacted,Called,Email sent,Sample agreed,Sample delivered,Paid trial,Reorder,Not interested,Do not contact,Recheck / closed"</formula1>
    </dataValidation>
    <dataValidation type="decimal" operator="greaterThanOrEqual" allowBlank="1" showInputMessage="1" showErrorMessage="1" sqref="I6:I55">
      <formula1>0</formula1>
    </dataValidation>
    <dataValidation type="decimal" operator="greaterThanOrEqual" allowBlank="1" showInputMessage="1" showErrorMessage="1" sqref="J6:J55">
      <formula1>0</formula1>
    </dataValidation>
  </dataValidations>
  <pageMargins left="0.7" right="0.7" top="0.75" bottom="0.75" header="0.3" footer="0.3"/>
  <pageSetup paperSize="9" fitToHeight="0" orientation="landscape"/>
  <headerFooter>
    <oddFooter>&amp;LPoranki dehydrated fruit research &amp;RPage &amp;P of &amp;N</oddFooter>
  </headerFooter>
  <tableParts count="1">
    <tablePart r:id="rId1"/>
  </tableParts>
</worksheet>
</file>

<file path=xl/worksheets/sheet8.xml><?xml version="1.0" encoding="utf-8"?>
<worksheet xmlns="http://schemas.openxmlformats.org/spreadsheetml/2006/main" xmlns:r="http://schemas.openxmlformats.org/officeDocument/2006/relationships">
  <sheetPr>
    <pageSetUpPr fitToPage="1"/>
  </sheetPr>
  <dimension ref="A1:D30"/>
  <sheetViews>
    <sheetView showGridLines="0" workbookViewId="0">
      <pane ySplit="5" topLeftCell="A6" activePane="bottomLeft" state="frozen"/>
      <selection pane="bottomLeft"/>
    </sheetView>
  </sheetViews>
  <sheetFormatPr defaultRowHeight="15"/>
  <cols>
    <col min="1" max="1" width="43.7109375" style="1" customWidth="1"/>
    <col min="2" max="2" width="22.7109375" style="1" customWidth="1"/>
    <col min="3" max="3" width="18.7109375" style="1" customWidth="1"/>
    <col min="4" max="4" width="95.7109375" style="1" customWidth="1"/>
  </cols>
  <sheetData>
    <row r="1" spans="1:4" ht="33.75" customHeight="1">
      <c r="A1" s="2" t="s">
        <v>861</v>
      </c>
      <c r="B1" s="2"/>
      <c r="C1" s="2"/>
      <c r="D1" s="2"/>
    </row>
    <row r="2" spans="1:4" ht="24" customHeight="1">
      <c r="A2" s="3" t="s">
        <v>862</v>
      </c>
      <c r="B2" s="3"/>
      <c r="C2" s="3"/>
      <c r="D2" s="3"/>
    </row>
    <row r="3" spans="1:4" ht="24" customHeight="1">
      <c r="A3" s="3"/>
      <c r="B3" s="3"/>
      <c r="C3" s="3"/>
      <c r="D3" s="3"/>
    </row>
    <row r="5" spans="1:4">
      <c r="A5" s="6" t="s">
        <v>863</v>
      </c>
      <c r="B5" s="6" t="s">
        <v>864</v>
      </c>
      <c r="C5" s="6" t="s">
        <v>865</v>
      </c>
      <c r="D5" s="6" t="s">
        <v>866</v>
      </c>
    </row>
    <row r="6" spans="1:4" ht="35.25" customHeight="1">
      <c r="A6" s="4" t="s">
        <v>867</v>
      </c>
      <c r="B6" s="7"/>
      <c r="C6" s="1" t="s">
        <v>868</v>
      </c>
      <c r="D6" s="1" t="s">
        <v>869</v>
      </c>
    </row>
    <row r="7" spans="1:4" ht="35.25" customHeight="1">
      <c r="A7" s="4" t="s">
        <v>870</v>
      </c>
      <c r="B7" s="7"/>
      <c r="C7" s="1" t="s">
        <v>871</v>
      </c>
      <c r="D7" s="1" t="s">
        <v>872</v>
      </c>
    </row>
    <row r="8" spans="1:4" ht="35.25" customHeight="1">
      <c r="A8" s="4" t="s">
        <v>873</v>
      </c>
      <c r="B8" s="7"/>
      <c r="C8" s="1" t="s">
        <v>874</v>
      </c>
      <c r="D8" s="1" t="s">
        <v>875</v>
      </c>
    </row>
    <row r="9" spans="1:4" ht="35.25" customHeight="1">
      <c r="A9" s="4" t="s">
        <v>876</v>
      </c>
      <c r="B9" s="7"/>
      <c r="C9" s="1" t="s">
        <v>877</v>
      </c>
      <c r="D9" s="1" t="s">
        <v>878</v>
      </c>
    </row>
    <row r="10" spans="1:4" ht="35.25" customHeight="1">
      <c r="A10" s="4" t="s">
        <v>879</v>
      </c>
      <c r="B10" s="7"/>
      <c r="C10" s="1" t="s">
        <v>880</v>
      </c>
      <c r="D10" s="1" t="s">
        <v>881</v>
      </c>
    </row>
    <row r="11" spans="1:4" ht="35.25" customHeight="1">
      <c r="A11" s="4" t="s">
        <v>882</v>
      </c>
      <c r="B11" s="7"/>
      <c r="C11" s="1" t="s">
        <v>883</v>
      </c>
      <c r="D11" s="1" t="s">
        <v>884</v>
      </c>
    </row>
    <row r="12" spans="1:4" ht="35.25" customHeight="1">
      <c r="A12" s="4" t="s">
        <v>885</v>
      </c>
      <c r="B12" s="7"/>
      <c r="C12" s="1" t="s">
        <v>886</v>
      </c>
      <c r="D12" s="1" t="s">
        <v>887</v>
      </c>
    </row>
    <row r="13" spans="1:4" ht="35.25" customHeight="1">
      <c r="A13" s="4" t="s">
        <v>888</v>
      </c>
      <c r="B13" s="7"/>
      <c r="C13" s="1" t="s">
        <v>886</v>
      </c>
      <c r="D13" s="1" t="s">
        <v>889</v>
      </c>
    </row>
    <row r="14" spans="1:4" ht="35.25" customHeight="1">
      <c r="A14" s="4" t="s">
        <v>890</v>
      </c>
      <c r="B14" s="7"/>
      <c r="C14" s="1" t="s">
        <v>886</v>
      </c>
      <c r="D14" s="1" t="s">
        <v>891</v>
      </c>
    </row>
    <row r="15" spans="1:4" ht="35.25" customHeight="1">
      <c r="A15" s="4" t="s">
        <v>892</v>
      </c>
      <c r="B15" s="7"/>
      <c r="C15" s="1" t="s">
        <v>868</v>
      </c>
      <c r="D15" s="1" t="s">
        <v>893</v>
      </c>
    </row>
    <row r="16" spans="1:4" ht="35.25" customHeight="1">
      <c r="A16" s="4" t="s">
        <v>894</v>
      </c>
      <c r="B16" s="7"/>
      <c r="C16" s="1" t="s">
        <v>895</v>
      </c>
      <c r="D16" s="1" t="s">
        <v>896</v>
      </c>
    </row>
    <row r="17" spans="1:4" ht="35.25" customHeight="1">
      <c r="A17" s="4" t="s">
        <v>897</v>
      </c>
      <c r="B17" s="7"/>
      <c r="C17" s="1" t="s">
        <v>898</v>
      </c>
      <c r="D17" s="1" t="s">
        <v>899</v>
      </c>
    </row>
    <row r="20" spans="1:4" ht="38.25" customHeight="1">
      <c r="A20" s="4" t="s">
        <v>900</v>
      </c>
      <c r="B20" s="8">
        <f>IF(COUNT(B6:B14)&lt;9,"",B6*B7+B8*B9+B10*B11+SUM(B12:B14))</f>
        <v/>
      </c>
      <c r="C20" s="1" t="s">
        <v>901</v>
      </c>
      <c r="D20" s="1" t="s">
        <v>902</v>
      </c>
    </row>
    <row r="21" spans="1:4" ht="38.25" customHeight="1">
      <c r="A21" s="4" t="s">
        <v>903</v>
      </c>
      <c r="B21" s="9">
        <f>IF(OR(COUNT(B6,B15)&lt;2,B6&lt;=0),"",B15/B6)</f>
        <v/>
      </c>
      <c r="C21" s="1" t="s">
        <v>904</v>
      </c>
      <c r="D21" s="1" t="s">
        <v>905</v>
      </c>
    </row>
    <row r="22" spans="1:4" ht="38.25" customHeight="1">
      <c r="A22" s="4" t="s">
        <v>906</v>
      </c>
      <c r="B22" s="8">
        <f>IF(OR(B20="",COUNT(B15)=0,B15&lt;=0),"",B20/B15)</f>
        <v/>
      </c>
      <c r="C22" s="1" t="s">
        <v>871</v>
      </c>
      <c r="D22" s="1" t="s">
        <v>907</v>
      </c>
    </row>
    <row r="23" spans="1:4" ht="38.25" customHeight="1">
      <c r="A23" s="4" t="s">
        <v>908</v>
      </c>
      <c r="B23" s="8">
        <f>IF(OR(B20="",COUNT(B16)=0,B16&lt;=0),"",B20/B16)</f>
        <v/>
      </c>
      <c r="C23" s="1" t="s">
        <v>898</v>
      </c>
      <c r="D23" s="1" t="s">
        <v>909</v>
      </c>
    </row>
    <row r="24" spans="1:4" ht="38.25" customHeight="1">
      <c r="A24" s="4" t="s">
        <v>910</v>
      </c>
      <c r="B24" s="8">
        <f>IF(OR(COUNT(B16:B17)&lt;2,B16&lt;=0,B17&lt;=0),"",B16*B17)</f>
        <v/>
      </c>
      <c r="C24" s="1" t="s">
        <v>901</v>
      </c>
      <c r="D24" s="1" t="s">
        <v>911</v>
      </c>
    </row>
    <row r="25" spans="1:4" ht="38.25" customHeight="1">
      <c r="A25" s="4" t="s">
        <v>912</v>
      </c>
      <c r="B25" s="8">
        <f>IF(OR(B24="",B20=""),"",B24-B20)</f>
        <v/>
      </c>
      <c r="C25" s="1" t="s">
        <v>901</v>
      </c>
      <c r="D25" s="1" t="s">
        <v>913</v>
      </c>
    </row>
    <row r="26" spans="1:4" ht="38.25" customHeight="1">
      <c r="A26" s="4" t="s">
        <v>914</v>
      </c>
      <c r="B26" s="9">
        <f>IF(OR(B24="",B24&lt;=0,B25=""),"",B25/B24)</f>
        <v/>
      </c>
      <c r="C26" s="1" t="s">
        <v>904</v>
      </c>
      <c r="D26" s="1" t="s">
        <v>915</v>
      </c>
    </row>
    <row r="29" spans="1:4">
      <c r="A29" s="3" t="s">
        <v>916</v>
      </c>
      <c r="B29" s="3"/>
      <c r="C29" s="3"/>
      <c r="D29" s="3"/>
    </row>
    <row r="30" spans="1:4">
      <c r="A30" s="3"/>
      <c r="B30" s="3"/>
      <c r="C30" s="3"/>
      <c r="D30" s="3"/>
    </row>
  </sheetData>
  <mergeCells count="3">
    <mergeCell ref="A1:D1"/>
    <mergeCell ref="A2:D3"/>
    <mergeCell ref="A29:D30"/>
  </mergeCells>
  <dataValidations count="1">
    <dataValidation type="decimal" operator="greaterThanOrEqual" allowBlank="1" showInputMessage="1" showErrorMessage="1" sqref="B6:B17">
      <formula1>0</formula1>
    </dataValidation>
  </dataValidations>
  <pageMargins left="0.7" right="0.7" top="0.75" bottom="0.75" header="0.3" footer="0.3"/>
  <pageSetup paperSize="9" fitToHeight="0" orientation="landscape"/>
  <headerFooter>
    <oddFooter>&amp;LPoranki dehydrated fruit research &amp;RPage &amp;P of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H139"/>
  <sheetViews>
    <sheetView showGridLines="0" workbookViewId="0">
      <pane ySplit="5" topLeftCell="A6" activePane="bottomLeft" state="frozen"/>
      <selection pane="bottomLeft"/>
    </sheetView>
  </sheetViews>
  <sheetFormatPr defaultRowHeight="15"/>
  <cols>
    <col min="1" max="1" width="17.7109375" style="1" customWidth="1"/>
    <col min="2" max="2" width="12.7109375" style="1" customWidth="1"/>
    <col min="3" max="3" width="48.7109375" style="1" customWidth="1"/>
    <col min="4" max="4" width="22.7109375" style="1" customWidth="1"/>
    <col min="5" max="5" width="95.7109375" style="1" customWidth="1"/>
    <col min="6" max="6" width="45.7109375" style="1" customWidth="1"/>
    <col min="7" max="7" width="19.7109375" style="1" customWidth="1"/>
    <col min="8" max="8" width="100.7109375" style="1" customWidth="1"/>
  </cols>
  <sheetData>
    <row r="1" spans="1:8" ht="33.75" customHeight="1">
      <c r="A1" s="2" t="s">
        <v>917</v>
      </c>
      <c r="B1" s="2"/>
      <c r="C1" s="2"/>
      <c r="D1" s="2"/>
      <c r="E1" s="2"/>
      <c r="F1" s="2"/>
      <c r="G1" s="2"/>
      <c r="H1" s="2"/>
    </row>
    <row r="2" spans="1:8" ht="24" customHeight="1">
      <c r="A2" s="3" t="s">
        <v>918</v>
      </c>
      <c r="B2" s="3"/>
      <c r="C2" s="3"/>
      <c r="D2" s="3"/>
      <c r="E2" s="3"/>
      <c r="F2" s="3"/>
      <c r="G2" s="3"/>
      <c r="H2" s="3"/>
    </row>
    <row r="3" spans="1:8" ht="24" customHeight="1">
      <c r="A3" s="3"/>
      <c r="B3" s="3"/>
      <c r="C3" s="3"/>
      <c r="D3" s="3"/>
      <c r="E3" s="3"/>
      <c r="F3" s="3"/>
      <c r="G3" s="3"/>
      <c r="H3" s="3"/>
    </row>
    <row r="5" spans="1:8" ht="32.25" customHeight="1">
      <c r="A5" s="6" t="s">
        <v>919</v>
      </c>
      <c r="B5" s="6" t="s">
        <v>38</v>
      </c>
      <c r="C5" s="6" t="s">
        <v>920</v>
      </c>
      <c r="D5" s="6" t="s">
        <v>921</v>
      </c>
      <c r="E5" s="6" t="s">
        <v>922</v>
      </c>
      <c r="F5" s="6" t="s">
        <v>923</v>
      </c>
      <c r="G5" s="6" t="s">
        <v>924</v>
      </c>
      <c r="H5" s="6" t="s">
        <v>925</v>
      </c>
    </row>
    <row r="6" spans="1:8" ht="81.75" customHeight="1">
      <c r="A6" s="1" t="s">
        <v>926</v>
      </c>
      <c r="B6" s="1" t="s">
        <v>64</v>
      </c>
      <c r="C6" s="1" t="s">
        <v>66</v>
      </c>
      <c r="D6" s="1" t="s">
        <v>927</v>
      </c>
      <c r="E6" s="5" t="s">
        <v>928</v>
      </c>
      <c r="F6" s="1" t="s">
        <v>81</v>
      </c>
      <c r="G6" s="1" t="s">
        <v>85</v>
      </c>
      <c r="H6" s="1" t="s">
        <v>929</v>
      </c>
    </row>
    <row r="7" spans="1:8" ht="81.75" customHeight="1">
      <c r="A7" s="1" t="s">
        <v>930</v>
      </c>
      <c r="B7" s="1" t="s">
        <v>64</v>
      </c>
      <c r="C7" s="1" t="s">
        <v>66</v>
      </c>
      <c r="D7" s="1" t="s">
        <v>927</v>
      </c>
      <c r="E7" s="5" t="s">
        <v>84</v>
      </c>
      <c r="F7" s="1" t="s">
        <v>81</v>
      </c>
      <c r="G7" s="1" t="s">
        <v>85</v>
      </c>
      <c r="H7" s="1" t="s">
        <v>929</v>
      </c>
    </row>
    <row r="8" spans="1:8" ht="81.75" customHeight="1">
      <c r="A8" s="1" t="s">
        <v>931</v>
      </c>
      <c r="B8" s="1" t="s">
        <v>64</v>
      </c>
      <c r="C8" s="1" t="s">
        <v>66</v>
      </c>
      <c r="D8" s="1" t="s">
        <v>932</v>
      </c>
      <c r="E8" s="5" t="s">
        <v>84</v>
      </c>
      <c r="F8" s="1" t="s">
        <v>79</v>
      </c>
      <c r="G8" s="1" t="s">
        <v>85</v>
      </c>
      <c r="H8" s="1" t="s">
        <v>80</v>
      </c>
    </row>
    <row r="9" spans="1:8" ht="81.75" customHeight="1">
      <c r="A9" s="1" t="s">
        <v>933</v>
      </c>
      <c r="B9" s="1" t="s">
        <v>89</v>
      </c>
      <c r="C9" s="1" t="s">
        <v>90</v>
      </c>
      <c r="D9" s="1" t="s">
        <v>927</v>
      </c>
      <c r="E9" s="5" t="s">
        <v>100</v>
      </c>
      <c r="F9" s="1" t="s">
        <v>81</v>
      </c>
      <c r="G9" s="1" t="s">
        <v>85</v>
      </c>
      <c r="H9" s="1" t="s">
        <v>929</v>
      </c>
    </row>
    <row r="10" spans="1:8" ht="81.75" customHeight="1">
      <c r="A10" s="1" t="s">
        <v>934</v>
      </c>
      <c r="B10" s="1" t="s">
        <v>89</v>
      </c>
      <c r="C10" s="1" t="s">
        <v>90</v>
      </c>
      <c r="D10" s="1" t="s">
        <v>932</v>
      </c>
      <c r="E10" s="5" t="s">
        <v>101</v>
      </c>
      <c r="F10" s="1" t="s">
        <v>79</v>
      </c>
      <c r="G10" s="1" t="s">
        <v>85</v>
      </c>
      <c r="H10" s="1" t="s">
        <v>98</v>
      </c>
    </row>
    <row r="11" spans="1:8" ht="81.75" customHeight="1">
      <c r="A11" s="1" t="s">
        <v>935</v>
      </c>
      <c r="B11" s="1" t="s">
        <v>103</v>
      </c>
      <c r="C11" s="1" t="s">
        <v>104</v>
      </c>
      <c r="D11" s="1" t="s">
        <v>927</v>
      </c>
      <c r="E11" s="5" t="s">
        <v>116</v>
      </c>
      <c r="F11" s="1" t="s">
        <v>81</v>
      </c>
      <c r="G11" s="1" t="s">
        <v>85</v>
      </c>
      <c r="H11" s="1" t="s">
        <v>929</v>
      </c>
    </row>
    <row r="12" spans="1:8" ht="81.75" customHeight="1">
      <c r="A12" s="1" t="s">
        <v>936</v>
      </c>
      <c r="B12" s="1" t="s">
        <v>103</v>
      </c>
      <c r="C12" s="1" t="s">
        <v>104</v>
      </c>
      <c r="D12" s="1" t="s">
        <v>927</v>
      </c>
      <c r="E12" s="5" t="s">
        <v>937</v>
      </c>
      <c r="F12" s="1" t="s">
        <v>81</v>
      </c>
      <c r="G12" s="1" t="s">
        <v>85</v>
      </c>
      <c r="H12" s="1" t="s">
        <v>929</v>
      </c>
    </row>
    <row r="13" spans="1:8" ht="81.75" customHeight="1">
      <c r="A13" s="1" t="s">
        <v>938</v>
      </c>
      <c r="B13" s="1" t="s">
        <v>103</v>
      </c>
      <c r="C13" s="1" t="s">
        <v>104</v>
      </c>
      <c r="D13" s="1" t="s">
        <v>932</v>
      </c>
      <c r="E13" s="5" t="s">
        <v>116</v>
      </c>
      <c r="F13" s="1" t="s">
        <v>112</v>
      </c>
      <c r="G13" s="1" t="s">
        <v>85</v>
      </c>
      <c r="H13" s="1" t="s">
        <v>113</v>
      </c>
    </row>
    <row r="14" spans="1:8" ht="81.75" customHeight="1">
      <c r="A14" s="1" t="s">
        <v>939</v>
      </c>
      <c r="B14" s="1" t="s">
        <v>117</v>
      </c>
      <c r="C14" s="1" t="s">
        <v>118</v>
      </c>
      <c r="D14" s="1" t="s">
        <v>927</v>
      </c>
      <c r="E14" s="5" t="s">
        <v>940</v>
      </c>
      <c r="F14" s="1" t="s">
        <v>81</v>
      </c>
      <c r="G14" s="1" t="s">
        <v>85</v>
      </c>
      <c r="H14" s="1" t="s">
        <v>929</v>
      </c>
    </row>
    <row r="15" spans="1:8" ht="81.75" customHeight="1">
      <c r="A15" s="1" t="s">
        <v>941</v>
      </c>
      <c r="B15" s="1" t="s">
        <v>117</v>
      </c>
      <c r="C15" s="1" t="s">
        <v>118</v>
      </c>
      <c r="D15" s="1" t="s">
        <v>927</v>
      </c>
      <c r="E15" s="5" t="s">
        <v>128</v>
      </c>
      <c r="F15" s="1" t="s">
        <v>81</v>
      </c>
      <c r="G15" s="1" t="s">
        <v>85</v>
      </c>
      <c r="H15" s="1" t="s">
        <v>929</v>
      </c>
    </row>
    <row r="16" spans="1:8" ht="81.75" customHeight="1">
      <c r="A16" s="1" t="s">
        <v>942</v>
      </c>
      <c r="B16" s="1" t="s">
        <v>117</v>
      </c>
      <c r="C16" s="1" t="s">
        <v>118</v>
      </c>
      <c r="D16" s="1" t="s">
        <v>932</v>
      </c>
      <c r="E16" s="5" t="s">
        <v>128</v>
      </c>
      <c r="F16" s="1" t="s">
        <v>79</v>
      </c>
      <c r="G16" s="1" t="s">
        <v>85</v>
      </c>
      <c r="H16" s="1" t="s">
        <v>125</v>
      </c>
    </row>
    <row r="17" spans="1:8" ht="81.75" customHeight="1">
      <c r="A17" s="1" t="s">
        <v>943</v>
      </c>
      <c r="B17" s="1" t="s">
        <v>130</v>
      </c>
      <c r="C17" s="1" t="s">
        <v>132</v>
      </c>
      <c r="D17" s="1" t="s">
        <v>927</v>
      </c>
      <c r="E17" s="5" t="s">
        <v>944</v>
      </c>
      <c r="F17" s="1" t="s">
        <v>81</v>
      </c>
      <c r="G17" s="1" t="s">
        <v>85</v>
      </c>
      <c r="H17" s="1" t="s">
        <v>929</v>
      </c>
    </row>
    <row r="18" spans="1:8" ht="81.75" customHeight="1">
      <c r="A18" s="1" t="s">
        <v>945</v>
      </c>
      <c r="B18" s="1" t="s">
        <v>130</v>
      </c>
      <c r="C18" s="1" t="s">
        <v>132</v>
      </c>
      <c r="D18" s="1" t="s">
        <v>927</v>
      </c>
      <c r="E18" s="5" t="s">
        <v>946</v>
      </c>
      <c r="F18" s="1" t="s">
        <v>81</v>
      </c>
      <c r="G18" s="1" t="s">
        <v>85</v>
      </c>
      <c r="H18" s="1" t="s">
        <v>929</v>
      </c>
    </row>
    <row r="19" spans="1:8" ht="81.75" customHeight="1">
      <c r="A19" s="1" t="s">
        <v>947</v>
      </c>
      <c r="B19" s="1" t="s">
        <v>130</v>
      </c>
      <c r="C19" s="1" t="s">
        <v>132</v>
      </c>
      <c r="D19" s="1" t="s">
        <v>932</v>
      </c>
      <c r="E19" s="5" t="s">
        <v>143</v>
      </c>
      <c r="F19" s="1" t="s">
        <v>79</v>
      </c>
      <c r="G19" s="1" t="s">
        <v>85</v>
      </c>
      <c r="H19" s="1" t="s">
        <v>140</v>
      </c>
    </row>
    <row r="20" spans="1:8" ht="81.75" customHeight="1">
      <c r="A20" s="1" t="s">
        <v>948</v>
      </c>
      <c r="B20" s="1" t="s">
        <v>144</v>
      </c>
      <c r="C20" s="1" t="s">
        <v>146</v>
      </c>
      <c r="D20" s="1" t="s">
        <v>927</v>
      </c>
      <c r="E20" s="5" t="s">
        <v>153</v>
      </c>
      <c r="F20" s="1" t="s">
        <v>156</v>
      </c>
      <c r="G20" s="1" t="s">
        <v>85</v>
      </c>
      <c r="H20" s="1" t="s">
        <v>929</v>
      </c>
    </row>
    <row r="21" spans="1:8" ht="81.75" customHeight="1">
      <c r="A21" s="1" t="s">
        <v>949</v>
      </c>
      <c r="B21" s="1" t="s">
        <v>144</v>
      </c>
      <c r="C21" s="1" t="s">
        <v>146</v>
      </c>
      <c r="D21" s="1" t="s">
        <v>932</v>
      </c>
      <c r="E21" s="5" t="s">
        <v>158</v>
      </c>
      <c r="F21" s="1" t="s">
        <v>79</v>
      </c>
      <c r="G21" s="1" t="s">
        <v>85</v>
      </c>
      <c r="H21" s="1" t="s">
        <v>155</v>
      </c>
    </row>
    <row r="22" spans="1:8" ht="81.75" customHeight="1">
      <c r="A22" s="1" t="s">
        <v>950</v>
      </c>
      <c r="B22" s="1" t="s">
        <v>160</v>
      </c>
      <c r="C22" s="1" t="s">
        <v>161</v>
      </c>
      <c r="D22" s="1" t="s">
        <v>927</v>
      </c>
      <c r="E22" s="5" t="s">
        <v>175</v>
      </c>
      <c r="F22" s="1" t="s">
        <v>156</v>
      </c>
      <c r="G22" s="1" t="s">
        <v>85</v>
      </c>
      <c r="H22" s="1" t="s">
        <v>929</v>
      </c>
    </row>
    <row r="23" spans="1:8" ht="81.75" customHeight="1">
      <c r="A23" s="1" t="s">
        <v>951</v>
      </c>
      <c r="B23" s="1" t="s">
        <v>160</v>
      </c>
      <c r="C23" s="1" t="s">
        <v>161</v>
      </c>
      <c r="D23" s="1" t="s">
        <v>932</v>
      </c>
      <c r="E23" s="5" t="s">
        <v>176</v>
      </c>
      <c r="F23" s="1" t="s">
        <v>79</v>
      </c>
      <c r="G23" s="1" t="s">
        <v>85</v>
      </c>
      <c r="H23" s="1" t="s">
        <v>173</v>
      </c>
    </row>
    <row r="24" spans="1:8" ht="81.75" customHeight="1">
      <c r="A24" s="1" t="s">
        <v>952</v>
      </c>
      <c r="B24" s="1" t="s">
        <v>177</v>
      </c>
      <c r="C24" s="1" t="s">
        <v>178</v>
      </c>
      <c r="D24" s="1" t="s">
        <v>927</v>
      </c>
      <c r="E24" s="5" t="s">
        <v>186</v>
      </c>
      <c r="F24" s="1" t="s">
        <v>81</v>
      </c>
      <c r="G24" s="1" t="s">
        <v>85</v>
      </c>
      <c r="H24" s="1" t="s">
        <v>929</v>
      </c>
    </row>
    <row r="25" spans="1:8" ht="81.75" customHeight="1">
      <c r="A25" s="1" t="s">
        <v>953</v>
      </c>
      <c r="B25" s="1" t="s">
        <v>177</v>
      </c>
      <c r="C25" s="1" t="s">
        <v>178</v>
      </c>
      <c r="D25" s="1" t="s">
        <v>932</v>
      </c>
      <c r="E25" s="5" t="s">
        <v>186</v>
      </c>
      <c r="F25" s="1" t="s">
        <v>112</v>
      </c>
      <c r="G25" s="1" t="s">
        <v>85</v>
      </c>
      <c r="H25" s="1" t="s">
        <v>185</v>
      </c>
    </row>
    <row r="26" spans="1:8" ht="81.75" customHeight="1">
      <c r="A26" s="1" t="s">
        <v>954</v>
      </c>
      <c r="B26" s="1" t="s">
        <v>187</v>
      </c>
      <c r="C26" s="1" t="s">
        <v>188</v>
      </c>
      <c r="D26" s="1" t="s">
        <v>927</v>
      </c>
      <c r="E26" s="5" t="s">
        <v>194</v>
      </c>
      <c r="F26" s="1" t="s">
        <v>156</v>
      </c>
      <c r="G26" s="1" t="s">
        <v>85</v>
      </c>
      <c r="H26" s="1" t="s">
        <v>929</v>
      </c>
    </row>
    <row r="27" spans="1:8" ht="81.75" customHeight="1">
      <c r="A27" s="1" t="s">
        <v>955</v>
      </c>
      <c r="B27" s="1" t="s">
        <v>187</v>
      </c>
      <c r="C27" s="1" t="s">
        <v>188</v>
      </c>
      <c r="D27" s="1" t="s">
        <v>932</v>
      </c>
      <c r="E27" s="5" t="s">
        <v>194</v>
      </c>
      <c r="F27" s="1" t="s">
        <v>79</v>
      </c>
      <c r="G27" s="1" t="s">
        <v>85</v>
      </c>
      <c r="H27" s="1" t="s">
        <v>196</v>
      </c>
    </row>
    <row r="28" spans="1:8" ht="81.75" customHeight="1">
      <c r="A28" s="1" t="s">
        <v>956</v>
      </c>
      <c r="B28" s="1" t="s">
        <v>198</v>
      </c>
      <c r="C28" s="1" t="s">
        <v>199</v>
      </c>
      <c r="D28" s="1" t="s">
        <v>927</v>
      </c>
      <c r="E28" s="5" t="s">
        <v>205</v>
      </c>
      <c r="F28" s="1" t="s">
        <v>156</v>
      </c>
      <c r="G28" s="1" t="s">
        <v>85</v>
      </c>
      <c r="H28" s="1" t="s">
        <v>929</v>
      </c>
    </row>
    <row r="29" spans="1:8" ht="81.75" customHeight="1">
      <c r="A29" s="1" t="s">
        <v>957</v>
      </c>
      <c r="B29" s="1" t="s">
        <v>198</v>
      </c>
      <c r="C29" s="1" t="s">
        <v>199</v>
      </c>
      <c r="D29" s="1" t="s">
        <v>932</v>
      </c>
      <c r="E29" s="5" t="s">
        <v>205</v>
      </c>
      <c r="F29" s="1" t="s">
        <v>79</v>
      </c>
      <c r="G29" s="1" t="s">
        <v>85</v>
      </c>
      <c r="H29" s="1" t="s">
        <v>207</v>
      </c>
    </row>
    <row r="30" spans="1:8" ht="81.75" customHeight="1">
      <c r="A30" s="1" t="s">
        <v>958</v>
      </c>
      <c r="B30" s="1" t="s">
        <v>209</v>
      </c>
      <c r="C30" s="1" t="s">
        <v>210</v>
      </c>
      <c r="D30" s="1" t="s">
        <v>927</v>
      </c>
      <c r="E30" s="5" t="s">
        <v>220</v>
      </c>
      <c r="F30" s="1" t="s">
        <v>81</v>
      </c>
      <c r="G30" s="1" t="s">
        <v>85</v>
      </c>
      <c r="H30" s="1" t="s">
        <v>929</v>
      </c>
    </row>
    <row r="31" spans="1:8" ht="81.75" customHeight="1">
      <c r="A31" s="1" t="s">
        <v>959</v>
      </c>
      <c r="B31" s="1" t="s">
        <v>209</v>
      </c>
      <c r="C31" s="1" t="s">
        <v>210</v>
      </c>
      <c r="D31" s="1" t="s">
        <v>932</v>
      </c>
      <c r="E31" s="5" t="s">
        <v>221</v>
      </c>
      <c r="F31" s="1" t="s">
        <v>79</v>
      </c>
      <c r="G31" s="1" t="s">
        <v>85</v>
      </c>
      <c r="H31" s="1" t="s">
        <v>218</v>
      </c>
    </row>
    <row r="32" spans="1:8" ht="81.75" customHeight="1">
      <c r="A32" s="1" t="s">
        <v>960</v>
      </c>
      <c r="B32" s="1" t="s">
        <v>222</v>
      </c>
      <c r="C32" s="1" t="s">
        <v>223</v>
      </c>
      <c r="D32" s="1" t="s">
        <v>927</v>
      </c>
      <c r="E32" s="5" t="s">
        <v>961</v>
      </c>
      <c r="F32" s="1" t="s">
        <v>81</v>
      </c>
      <c r="G32" s="1" t="s">
        <v>85</v>
      </c>
      <c r="H32" s="1" t="s">
        <v>929</v>
      </c>
    </row>
    <row r="33" spans="1:8" ht="81.75" customHeight="1">
      <c r="A33" s="1" t="s">
        <v>962</v>
      </c>
      <c r="B33" s="1" t="s">
        <v>222</v>
      </c>
      <c r="C33" s="1" t="s">
        <v>223</v>
      </c>
      <c r="D33" s="1" t="s">
        <v>927</v>
      </c>
      <c r="E33" s="5" t="s">
        <v>233</v>
      </c>
      <c r="F33" s="1" t="s">
        <v>81</v>
      </c>
      <c r="G33" s="1" t="s">
        <v>85</v>
      </c>
      <c r="H33" s="1" t="s">
        <v>929</v>
      </c>
    </row>
    <row r="34" spans="1:8" ht="81.75" customHeight="1">
      <c r="A34" s="1" t="s">
        <v>963</v>
      </c>
      <c r="B34" s="1" t="s">
        <v>222</v>
      </c>
      <c r="C34" s="1" t="s">
        <v>223</v>
      </c>
      <c r="D34" s="1" t="s">
        <v>932</v>
      </c>
      <c r="E34" s="5" t="s">
        <v>233</v>
      </c>
      <c r="F34" s="1" t="s">
        <v>79</v>
      </c>
      <c r="G34" s="1" t="s">
        <v>85</v>
      </c>
      <c r="H34" s="1" t="s">
        <v>230</v>
      </c>
    </row>
    <row r="35" spans="1:8" ht="81.75" customHeight="1">
      <c r="A35" s="1" t="s">
        <v>964</v>
      </c>
      <c r="B35" s="1" t="s">
        <v>234</v>
      </c>
      <c r="C35" s="1" t="s">
        <v>235</v>
      </c>
      <c r="D35" s="1" t="s">
        <v>927</v>
      </c>
      <c r="E35" s="5" t="s">
        <v>965</v>
      </c>
      <c r="F35" s="1" t="s">
        <v>81</v>
      </c>
      <c r="G35" s="1" t="s">
        <v>85</v>
      </c>
      <c r="H35" s="1" t="s">
        <v>929</v>
      </c>
    </row>
    <row r="36" spans="1:8" ht="81.75" customHeight="1">
      <c r="A36" s="1" t="s">
        <v>966</v>
      </c>
      <c r="B36" s="1" t="s">
        <v>234</v>
      </c>
      <c r="C36" s="1" t="s">
        <v>235</v>
      </c>
      <c r="D36" s="1" t="s">
        <v>927</v>
      </c>
      <c r="E36" s="5" t="s">
        <v>967</v>
      </c>
      <c r="F36" s="1" t="s">
        <v>81</v>
      </c>
      <c r="G36" s="1" t="s">
        <v>85</v>
      </c>
      <c r="H36" s="1" t="s">
        <v>929</v>
      </c>
    </row>
    <row r="37" spans="1:8" ht="81.75" customHeight="1">
      <c r="A37" s="1" t="s">
        <v>968</v>
      </c>
      <c r="B37" s="1" t="s">
        <v>234</v>
      </c>
      <c r="C37" s="1" t="s">
        <v>235</v>
      </c>
      <c r="D37" s="1" t="s">
        <v>932</v>
      </c>
      <c r="E37" s="5" t="s">
        <v>245</v>
      </c>
      <c r="F37" s="1" t="s">
        <v>79</v>
      </c>
      <c r="G37" s="1" t="s">
        <v>85</v>
      </c>
      <c r="H37" s="1" t="s">
        <v>242</v>
      </c>
    </row>
    <row r="38" spans="1:8" ht="81.75" customHeight="1">
      <c r="A38" s="1" t="s">
        <v>969</v>
      </c>
      <c r="B38" s="1" t="s">
        <v>246</v>
      </c>
      <c r="C38" s="1" t="s">
        <v>247</v>
      </c>
      <c r="D38" s="1" t="s">
        <v>927</v>
      </c>
      <c r="E38" s="5" t="s">
        <v>254</v>
      </c>
      <c r="F38" s="1" t="s">
        <v>156</v>
      </c>
      <c r="G38" s="1" t="s">
        <v>85</v>
      </c>
      <c r="H38" s="1" t="s">
        <v>929</v>
      </c>
    </row>
    <row r="39" spans="1:8" ht="81.75" customHeight="1">
      <c r="A39" s="1" t="s">
        <v>970</v>
      </c>
      <c r="B39" s="1" t="s">
        <v>246</v>
      </c>
      <c r="C39" s="1" t="s">
        <v>247</v>
      </c>
      <c r="D39" s="1" t="s">
        <v>932</v>
      </c>
      <c r="E39" s="5" t="s">
        <v>254</v>
      </c>
      <c r="F39" s="1" t="s">
        <v>79</v>
      </c>
      <c r="G39" s="1" t="s">
        <v>85</v>
      </c>
      <c r="H39" s="1" t="s">
        <v>256</v>
      </c>
    </row>
    <row r="40" spans="1:8" ht="81.75" customHeight="1">
      <c r="A40" s="1" t="s">
        <v>971</v>
      </c>
      <c r="B40" s="1" t="s">
        <v>257</v>
      </c>
      <c r="C40" s="1" t="s">
        <v>258</v>
      </c>
      <c r="D40" s="1" t="s">
        <v>927</v>
      </c>
      <c r="E40" s="5" t="s">
        <v>972</v>
      </c>
      <c r="F40" s="1" t="s">
        <v>81</v>
      </c>
      <c r="G40" s="1" t="s">
        <v>85</v>
      </c>
      <c r="H40" s="1" t="s">
        <v>929</v>
      </c>
    </row>
    <row r="41" spans="1:8" ht="81.75" customHeight="1">
      <c r="A41" s="1" t="s">
        <v>973</v>
      </c>
      <c r="B41" s="1" t="s">
        <v>257</v>
      </c>
      <c r="C41" s="1" t="s">
        <v>258</v>
      </c>
      <c r="D41" s="1" t="s">
        <v>927</v>
      </c>
      <c r="E41" s="5" t="s">
        <v>974</v>
      </c>
      <c r="F41" s="1" t="s">
        <v>81</v>
      </c>
      <c r="G41" s="1" t="s">
        <v>85</v>
      </c>
      <c r="H41" s="1" t="s">
        <v>929</v>
      </c>
    </row>
    <row r="42" spans="1:8" ht="81.75" customHeight="1">
      <c r="A42" s="1" t="s">
        <v>975</v>
      </c>
      <c r="B42" s="1" t="s">
        <v>257</v>
      </c>
      <c r="C42" s="1" t="s">
        <v>258</v>
      </c>
      <c r="D42" s="1" t="s">
        <v>932</v>
      </c>
      <c r="E42" s="5" t="s">
        <v>267</v>
      </c>
      <c r="F42" s="1" t="s">
        <v>79</v>
      </c>
      <c r="G42" s="1" t="s">
        <v>85</v>
      </c>
      <c r="H42" s="1" t="s">
        <v>264</v>
      </c>
    </row>
    <row r="43" spans="1:8" ht="81.75" customHeight="1">
      <c r="A43" s="1" t="s">
        <v>976</v>
      </c>
      <c r="B43" s="1" t="s">
        <v>268</v>
      </c>
      <c r="C43" s="1" t="s">
        <v>269</v>
      </c>
      <c r="D43" s="1" t="s">
        <v>927</v>
      </c>
      <c r="E43" s="5" t="s">
        <v>977</v>
      </c>
      <c r="F43" s="1" t="s">
        <v>81</v>
      </c>
      <c r="G43" s="1" t="s">
        <v>85</v>
      </c>
      <c r="H43" s="1" t="s">
        <v>929</v>
      </c>
    </row>
    <row r="44" spans="1:8" ht="81.75" customHeight="1">
      <c r="A44" s="1" t="s">
        <v>978</v>
      </c>
      <c r="B44" s="1" t="s">
        <v>268</v>
      </c>
      <c r="C44" s="1" t="s">
        <v>269</v>
      </c>
      <c r="D44" s="1" t="s">
        <v>927</v>
      </c>
      <c r="E44" s="5" t="s">
        <v>278</v>
      </c>
      <c r="F44" s="1" t="s">
        <v>81</v>
      </c>
      <c r="G44" s="1" t="s">
        <v>85</v>
      </c>
      <c r="H44" s="1" t="s">
        <v>929</v>
      </c>
    </row>
    <row r="45" spans="1:8" ht="81.75" customHeight="1">
      <c r="A45" s="1" t="s">
        <v>979</v>
      </c>
      <c r="B45" s="1" t="s">
        <v>268</v>
      </c>
      <c r="C45" s="1" t="s">
        <v>269</v>
      </c>
      <c r="D45" s="1" t="s">
        <v>932</v>
      </c>
      <c r="E45" s="5" t="s">
        <v>278</v>
      </c>
      <c r="F45" s="1" t="s">
        <v>112</v>
      </c>
      <c r="G45" s="1" t="s">
        <v>85</v>
      </c>
      <c r="H45" s="1" t="s">
        <v>275</v>
      </c>
    </row>
    <row r="46" spans="1:8" ht="81.75" customHeight="1">
      <c r="A46" s="1" t="s">
        <v>980</v>
      </c>
      <c r="B46" s="1" t="s">
        <v>279</v>
      </c>
      <c r="C46" s="1" t="s">
        <v>280</v>
      </c>
      <c r="D46" s="1" t="s">
        <v>927</v>
      </c>
      <c r="E46" s="5" t="s">
        <v>285</v>
      </c>
      <c r="F46" s="1" t="s">
        <v>156</v>
      </c>
      <c r="G46" s="1" t="s">
        <v>85</v>
      </c>
      <c r="H46" s="1" t="s">
        <v>929</v>
      </c>
    </row>
    <row r="47" spans="1:8" ht="81.75" customHeight="1">
      <c r="A47" s="1" t="s">
        <v>981</v>
      </c>
      <c r="B47" s="1" t="s">
        <v>279</v>
      </c>
      <c r="C47" s="1" t="s">
        <v>280</v>
      </c>
      <c r="D47" s="1" t="s">
        <v>932</v>
      </c>
      <c r="E47" s="5" t="s">
        <v>288</v>
      </c>
      <c r="F47" s="1" t="s">
        <v>79</v>
      </c>
      <c r="G47" s="1" t="s">
        <v>85</v>
      </c>
      <c r="H47" s="1" t="s">
        <v>286</v>
      </c>
    </row>
    <row r="48" spans="1:8" ht="81.75" customHeight="1">
      <c r="A48" s="1" t="s">
        <v>982</v>
      </c>
      <c r="B48" s="1" t="s">
        <v>289</v>
      </c>
      <c r="C48" s="1" t="s">
        <v>290</v>
      </c>
      <c r="D48" s="1" t="s">
        <v>927</v>
      </c>
      <c r="E48" s="5" t="s">
        <v>983</v>
      </c>
      <c r="F48" s="1" t="s">
        <v>81</v>
      </c>
      <c r="G48" s="1" t="s">
        <v>85</v>
      </c>
      <c r="H48" s="1" t="s">
        <v>929</v>
      </c>
    </row>
    <row r="49" spans="1:8" ht="81.75" customHeight="1">
      <c r="A49" s="1" t="s">
        <v>984</v>
      </c>
      <c r="B49" s="1" t="s">
        <v>289</v>
      </c>
      <c r="C49" s="1" t="s">
        <v>290</v>
      </c>
      <c r="D49" s="1" t="s">
        <v>927</v>
      </c>
      <c r="E49" s="5" t="s">
        <v>300</v>
      </c>
      <c r="F49" s="1" t="s">
        <v>81</v>
      </c>
      <c r="G49" s="1" t="s">
        <v>85</v>
      </c>
      <c r="H49" s="1" t="s">
        <v>929</v>
      </c>
    </row>
    <row r="50" spans="1:8" ht="81.75" customHeight="1">
      <c r="A50" s="1" t="s">
        <v>985</v>
      </c>
      <c r="B50" s="1" t="s">
        <v>289</v>
      </c>
      <c r="C50" s="1" t="s">
        <v>290</v>
      </c>
      <c r="D50" s="1" t="s">
        <v>932</v>
      </c>
      <c r="E50" s="5" t="s">
        <v>300</v>
      </c>
      <c r="F50" s="1" t="s">
        <v>79</v>
      </c>
      <c r="G50" s="1" t="s">
        <v>85</v>
      </c>
      <c r="H50" s="1" t="s">
        <v>297</v>
      </c>
    </row>
    <row r="51" spans="1:8" ht="81.75" customHeight="1">
      <c r="A51" s="1" t="s">
        <v>986</v>
      </c>
      <c r="B51" s="1" t="s">
        <v>301</v>
      </c>
      <c r="C51" s="1" t="s">
        <v>302</v>
      </c>
      <c r="D51" s="1" t="s">
        <v>927</v>
      </c>
      <c r="E51" s="5" t="s">
        <v>309</v>
      </c>
      <c r="F51" s="1" t="s">
        <v>81</v>
      </c>
      <c r="G51" s="1" t="s">
        <v>85</v>
      </c>
      <c r="H51" s="1" t="s">
        <v>929</v>
      </c>
    </row>
    <row r="52" spans="1:8" ht="81.75" customHeight="1">
      <c r="A52" s="1" t="s">
        <v>987</v>
      </c>
      <c r="B52" s="1" t="s">
        <v>301</v>
      </c>
      <c r="C52" s="1" t="s">
        <v>302</v>
      </c>
      <c r="D52" s="1" t="s">
        <v>927</v>
      </c>
      <c r="E52" s="5" t="s">
        <v>988</v>
      </c>
      <c r="F52" s="1" t="s">
        <v>81</v>
      </c>
      <c r="G52" s="1" t="s">
        <v>85</v>
      </c>
      <c r="H52" s="1" t="s">
        <v>929</v>
      </c>
    </row>
    <row r="53" spans="1:8" ht="81.75" customHeight="1">
      <c r="A53" s="1" t="s">
        <v>989</v>
      </c>
      <c r="B53" s="1" t="s">
        <v>301</v>
      </c>
      <c r="C53" s="1" t="s">
        <v>302</v>
      </c>
      <c r="D53" s="1" t="s">
        <v>932</v>
      </c>
      <c r="E53" s="5" t="s">
        <v>309</v>
      </c>
      <c r="F53" s="1" t="s">
        <v>79</v>
      </c>
      <c r="G53" s="1" t="s">
        <v>85</v>
      </c>
      <c r="H53" s="1" t="s">
        <v>306</v>
      </c>
    </row>
    <row r="54" spans="1:8" ht="81.75" customHeight="1">
      <c r="A54" s="1" t="s">
        <v>990</v>
      </c>
      <c r="B54" s="1" t="s">
        <v>310</v>
      </c>
      <c r="C54" s="1" t="s">
        <v>311</v>
      </c>
      <c r="D54" s="1" t="s">
        <v>927</v>
      </c>
      <c r="E54" s="5" t="s">
        <v>315</v>
      </c>
      <c r="F54" s="1" t="s">
        <v>81</v>
      </c>
      <c r="G54" s="1" t="s">
        <v>85</v>
      </c>
      <c r="H54" s="1" t="s">
        <v>929</v>
      </c>
    </row>
    <row r="55" spans="1:8" ht="81.75" customHeight="1">
      <c r="A55" s="1" t="s">
        <v>991</v>
      </c>
      <c r="B55" s="1" t="s">
        <v>310</v>
      </c>
      <c r="C55" s="1" t="s">
        <v>311</v>
      </c>
      <c r="D55" s="1" t="s">
        <v>932</v>
      </c>
      <c r="E55" s="5" t="s">
        <v>316</v>
      </c>
      <c r="F55" s="1" t="s">
        <v>79</v>
      </c>
      <c r="G55" s="1" t="s">
        <v>85</v>
      </c>
      <c r="H55" s="1" t="s">
        <v>314</v>
      </c>
    </row>
    <row r="56" spans="1:8" ht="81.75" customHeight="1">
      <c r="A56" s="1" t="s">
        <v>992</v>
      </c>
      <c r="B56" s="1" t="s">
        <v>317</v>
      </c>
      <c r="C56" s="1" t="s">
        <v>318</v>
      </c>
      <c r="D56" s="1" t="s">
        <v>927</v>
      </c>
      <c r="E56" s="5" t="s">
        <v>323</v>
      </c>
      <c r="F56" s="1" t="s">
        <v>156</v>
      </c>
      <c r="G56" s="1" t="s">
        <v>85</v>
      </c>
      <c r="H56" s="1" t="s">
        <v>929</v>
      </c>
    </row>
    <row r="57" spans="1:8" ht="81.75" customHeight="1">
      <c r="A57" s="1" t="s">
        <v>993</v>
      </c>
      <c r="B57" s="1" t="s">
        <v>317</v>
      </c>
      <c r="C57" s="1" t="s">
        <v>318</v>
      </c>
      <c r="D57" s="1" t="s">
        <v>932</v>
      </c>
      <c r="E57" s="5" t="s">
        <v>323</v>
      </c>
      <c r="F57" s="1" t="s">
        <v>79</v>
      </c>
      <c r="G57" s="1" t="s">
        <v>85</v>
      </c>
      <c r="H57" s="1" t="s">
        <v>324</v>
      </c>
    </row>
    <row r="58" spans="1:8" ht="81.75" customHeight="1">
      <c r="A58" s="1" t="s">
        <v>994</v>
      </c>
      <c r="B58" s="1" t="s">
        <v>325</v>
      </c>
      <c r="C58" s="1" t="s">
        <v>326</v>
      </c>
      <c r="D58" s="1" t="s">
        <v>927</v>
      </c>
      <c r="E58" s="5" t="s">
        <v>334</v>
      </c>
      <c r="F58" s="1" t="s">
        <v>156</v>
      </c>
      <c r="G58" s="1" t="s">
        <v>85</v>
      </c>
      <c r="H58" s="1" t="s">
        <v>929</v>
      </c>
    </row>
    <row r="59" spans="1:8" ht="81.75" customHeight="1">
      <c r="A59" s="1" t="s">
        <v>995</v>
      </c>
      <c r="B59" s="1" t="s">
        <v>325</v>
      </c>
      <c r="C59" s="1" t="s">
        <v>326</v>
      </c>
      <c r="D59" s="1" t="s">
        <v>932</v>
      </c>
      <c r="E59" s="5" t="s">
        <v>334</v>
      </c>
      <c r="F59" s="1" t="s">
        <v>79</v>
      </c>
      <c r="G59" s="1" t="s">
        <v>85</v>
      </c>
      <c r="H59" s="1" t="s">
        <v>336</v>
      </c>
    </row>
    <row r="60" spans="1:8" ht="81.75" customHeight="1">
      <c r="A60" s="1" t="s">
        <v>996</v>
      </c>
      <c r="B60" s="1" t="s">
        <v>339</v>
      </c>
      <c r="C60" s="1" t="s">
        <v>340</v>
      </c>
      <c r="D60" s="1" t="s">
        <v>927</v>
      </c>
      <c r="E60" s="5" t="s">
        <v>353</v>
      </c>
      <c r="F60" s="1" t="s">
        <v>156</v>
      </c>
      <c r="G60" s="1" t="s">
        <v>85</v>
      </c>
      <c r="H60" s="1" t="s">
        <v>929</v>
      </c>
    </row>
    <row r="61" spans="1:8" ht="81.75" customHeight="1">
      <c r="A61" s="1" t="s">
        <v>997</v>
      </c>
      <c r="B61" s="1" t="s">
        <v>339</v>
      </c>
      <c r="C61" s="1" t="s">
        <v>340</v>
      </c>
      <c r="D61" s="1" t="s">
        <v>932</v>
      </c>
      <c r="E61" s="5" t="s">
        <v>353</v>
      </c>
      <c r="F61" s="1" t="s">
        <v>112</v>
      </c>
      <c r="G61" s="1" t="s">
        <v>85</v>
      </c>
      <c r="H61" s="1" t="s">
        <v>351</v>
      </c>
    </row>
    <row r="62" spans="1:8" ht="81.75" customHeight="1">
      <c r="A62" s="1" t="s">
        <v>998</v>
      </c>
      <c r="B62" s="1" t="s">
        <v>354</v>
      </c>
      <c r="C62" s="1" t="s">
        <v>355</v>
      </c>
      <c r="D62" s="1" t="s">
        <v>927</v>
      </c>
      <c r="E62" s="5" t="s">
        <v>362</v>
      </c>
      <c r="F62" s="1" t="s">
        <v>156</v>
      </c>
      <c r="G62" s="1" t="s">
        <v>85</v>
      </c>
      <c r="H62" s="1" t="s">
        <v>929</v>
      </c>
    </row>
    <row r="63" spans="1:8" ht="81.75" customHeight="1">
      <c r="A63" s="1" t="s">
        <v>999</v>
      </c>
      <c r="B63" s="1" t="s">
        <v>354</v>
      </c>
      <c r="C63" s="1" t="s">
        <v>355</v>
      </c>
      <c r="D63" s="1" t="s">
        <v>932</v>
      </c>
      <c r="E63" s="5" t="s">
        <v>362</v>
      </c>
      <c r="F63" s="1" t="s">
        <v>79</v>
      </c>
      <c r="G63" s="1" t="s">
        <v>85</v>
      </c>
      <c r="H63" s="1" t="s">
        <v>364</v>
      </c>
    </row>
    <row r="64" spans="1:8" ht="81.75" customHeight="1">
      <c r="A64" s="1" t="s">
        <v>1000</v>
      </c>
      <c r="B64" s="1" t="s">
        <v>365</v>
      </c>
      <c r="C64" s="1" t="s">
        <v>366</v>
      </c>
      <c r="D64" s="1" t="s">
        <v>927</v>
      </c>
      <c r="E64" s="5" t="s">
        <v>373</v>
      </c>
      <c r="F64" s="1" t="s">
        <v>156</v>
      </c>
      <c r="G64" s="1" t="s">
        <v>85</v>
      </c>
      <c r="H64" s="1" t="s">
        <v>929</v>
      </c>
    </row>
    <row r="65" spans="1:8" ht="81.75" customHeight="1">
      <c r="A65" s="1" t="s">
        <v>1001</v>
      </c>
      <c r="B65" s="1" t="s">
        <v>365</v>
      </c>
      <c r="C65" s="1" t="s">
        <v>366</v>
      </c>
      <c r="D65" s="1" t="s">
        <v>932</v>
      </c>
      <c r="E65" s="5" t="s">
        <v>373</v>
      </c>
      <c r="F65" s="1" t="s">
        <v>112</v>
      </c>
      <c r="G65" s="1" t="s">
        <v>85</v>
      </c>
      <c r="H65" s="1" t="s">
        <v>375</v>
      </c>
    </row>
    <row r="66" spans="1:8" ht="81.75" customHeight="1">
      <c r="A66" s="1" t="s">
        <v>1002</v>
      </c>
      <c r="B66" s="1" t="s">
        <v>378</v>
      </c>
      <c r="C66" s="1" t="s">
        <v>379</v>
      </c>
      <c r="D66" s="1" t="s">
        <v>927</v>
      </c>
      <c r="E66" s="5" t="s">
        <v>1003</v>
      </c>
      <c r="F66" s="1" t="s">
        <v>156</v>
      </c>
      <c r="G66" s="1" t="s">
        <v>85</v>
      </c>
      <c r="H66" s="1" t="s">
        <v>929</v>
      </c>
    </row>
    <row r="67" spans="1:8" ht="81.75" customHeight="1">
      <c r="A67" s="1" t="s">
        <v>1004</v>
      </c>
      <c r="B67" s="1" t="s">
        <v>378</v>
      </c>
      <c r="C67" s="1" t="s">
        <v>379</v>
      </c>
      <c r="D67" s="1" t="s">
        <v>927</v>
      </c>
      <c r="E67" s="5" t="s">
        <v>1005</v>
      </c>
      <c r="F67" s="1" t="s">
        <v>156</v>
      </c>
      <c r="G67" s="1" t="s">
        <v>85</v>
      </c>
      <c r="H67" s="1" t="s">
        <v>929</v>
      </c>
    </row>
    <row r="68" spans="1:8" ht="81.75" customHeight="1">
      <c r="A68" s="1" t="s">
        <v>1006</v>
      </c>
      <c r="B68" s="1" t="s">
        <v>378</v>
      </c>
      <c r="C68" s="1" t="s">
        <v>379</v>
      </c>
      <c r="D68" s="1" t="s">
        <v>932</v>
      </c>
      <c r="E68" s="5" t="s">
        <v>394</v>
      </c>
      <c r="F68" s="1" t="s">
        <v>79</v>
      </c>
      <c r="G68" s="1" t="s">
        <v>85</v>
      </c>
      <c r="H68" s="1" t="s">
        <v>391</v>
      </c>
    </row>
    <row r="69" spans="1:8" ht="81.75" customHeight="1">
      <c r="A69" s="1" t="s">
        <v>1007</v>
      </c>
      <c r="B69" s="1" t="s">
        <v>395</v>
      </c>
      <c r="C69" s="1" t="s">
        <v>396</v>
      </c>
      <c r="D69" s="1" t="s">
        <v>927</v>
      </c>
      <c r="E69" s="5" t="s">
        <v>408</v>
      </c>
      <c r="F69" s="1" t="s">
        <v>156</v>
      </c>
      <c r="G69" s="1" t="s">
        <v>85</v>
      </c>
      <c r="H69" s="1" t="s">
        <v>929</v>
      </c>
    </row>
    <row r="70" spans="1:8" ht="81.75" customHeight="1">
      <c r="A70" s="1" t="s">
        <v>1008</v>
      </c>
      <c r="B70" s="1" t="s">
        <v>395</v>
      </c>
      <c r="C70" s="1" t="s">
        <v>396</v>
      </c>
      <c r="D70" s="1" t="s">
        <v>932</v>
      </c>
      <c r="E70" s="5" t="s">
        <v>408</v>
      </c>
      <c r="F70" s="1" t="s">
        <v>112</v>
      </c>
      <c r="G70" s="1" t="s">
        <v>85</v>
      </c>
      <c r="H70" s="1" t="s">
        <v>406</v>
      </c>
    </row>
    <row r="71" spans="1:8" ht="81.75" customHeight="1">
      <c r="A71" s="1" t="s">
        <v>1009</v>
      </c>
      <c r="B71" s="1" t="s">
        <v>410</v>
      </c>
      <c r="C71" s="1" t="s">
        <v>411</v>
      </c>
      <c r="D71" s="1" t="s">
        <v>927</v>
      </c>
      <c r="E71" s="5" t="s">
        <v>423</v>
      </c>
      <c r="F71" s="1" t="s">
        <v>156</v>
      </c>
      <c r="G71" s="1" t="s">
        <v>85</v>
      </c>
      <c r="H71" s="1" t="s">
        <v>929</v>
      </c>
    </row>
    <row r="72" spans="1:8" ht="81.75" customHeight="1">
      <c r="A72" s="1" t="s">
        <v>1010</v>
      </c>
      <c r="B72" s="1" t="s">
        <v>410</v>
      </c>
      <c r="C72" s="1" t="s">
        <v>411</v>
      </c>
      <c r="D72" s="1" t="s">
        <v>932</v>
      </c>
      <c r="E72" s="5" t="s">
        <v>424</v>
      </c>
      <c r="F72" s="1" t="s">
        <v>79</v>
      </c>
      <c r="G72" s="1" t="s">
        <v>85</v>
      </c>
      <c r="H72" s="1" t="s">
        <v>421</v>
      </c>
    </row>
    <row r="73" spans="1:8" ht="81.75" customHeight="1">
      <c r="A73" s="1" t="s">
        <v>1011</v>
      </c>
      <c r="B73" s="1" t="s">
        <v>426</v>
      </c>
      <c r="C73" s="1" t="s">
        <v>427</v>
      </c>
      <c r="D73" s="1" t="s">
        <v>927</v>
      </c>
      <c r="E73" s="5" t="s">
        <v>439</v>
      </c>
      <c r="F73" s="1" t="s">
        <v>156</v>
      </c>
      <c r="G73" s="1" t="s">
        <v>85</v>
      </c>
      <c r="H73" s="1" t="s">
        <v>929</v>
      </c>
    </row>
    <row r="74" spans="1:8" ht="81.75" customHeight="1">
      <c r="A74" s="1" t="s">
        <v>1012</v>
      </c>
      <c r="B74" s="1" t="s">
        <v>426</v>
      </c>
      <c r="C74" s="1" t="s">
        <v>427</v>
      </c>
      <c r="D74" s="1" t="s">
        <v>932</v>
      </c>
      <c r="E74" s="5" t="s">
        <v>435</v>
      </c>
      <c r="F74" s="1" t="s">
        <v>79</v>
      </c>
      <c r="G74" s="1" t="s">
        <v>85</v>
      </c>
      <c r="H74" s="1" t="s">
        <v>437</v>
      </c>
    </row>
    <row r="75" spans="1:8" ht="81.75" customHeight="1">
      <c r="A75" s="1" t="s">
        <v>1013</v>
      </c>
      <c r="B75" s="1" t="s">
        <v>440</v>
      </c>
      <c r="C75" s="1" t="s">
        <v>441</v>
      </c>
      <c r="D75" s="1" t="s">
        <v>927</v>
      </c>
      <c r="E75" s="5" t="s">
        <v>447</v>
      </c>
      <c r="F75" s="1" t="s">
        <v>156</v>
      </c>
      <c r="G75" s="1" t="s">
        <v>85</v>
      </c>
      <c r="H75" s="1" t="s">
        <v>929</v>
      </c>
    </row>
    <row r="76" spans="1:8" ht="81.75" customHeight="1">
      <c r="A76" s="1" t="s">
        <v>1014</v>
      </c>
      <c r="B76" s="1" t="s">
        <v>440</v>
      </c>
      <c r="C76" s="1" t="s">
        <v>441</v>
      </c>
      <c r="D76" s="1" t="s">
        <v>932</v>
      </c>
      <c r="E76" s="5" t="s">
        <v>447</v>
      </c>
      <c r="F76" s="1" t="s">
        <v>79</v>
      </c>
      <c r="G76" s="1" t="s">
        <v>85</v>
      </c>
      <c r="H76" s="1" t="s">
        <v>449</v>
      </c>
    </row>
    <row r="77" spans="1:8" ht="81.75" customHeight="1">
      <c r="A77" s="1" t="s">
        <v>1015</v>
      </c>
      <c r="B77" s="1" t="s">
        <v>452</v>
      </c>
      <c r="C77" s="1" t="s">
        <v>453</v>
      </c>
      <c r="D77" s="1" t="s">
        <v>927</v>
      </c>
      <c r="E77" s="5" t="s">
        <v>464</v>
      </c>
      <c r="F77" s="1" t="s">
        <v>156</v>
      </c>
      <c r="G77" s="1" t="s">
        <v>85</v>
      </c>
      <c r="H77" s="1" t="s">
        <v>929</v>
      </c>
    </row>
    <row r="78" spans="1:8" ht="81.75" customHeight="1">
      <c r="A78" s="1" t="s">
        <v>1016</v>
      </c>
      <c r="B78" s="1" t="s">
        <v>452</v>
      </c>
      <c r="C78" s="1" t="s">
        <v>453</v>
      </c>
      <c r="D78" s="1" t="s">
        <v>932</v>
      </c>
      <c r="E78" s="5" t="s">
        <v>460</v>
      </c>
      <c r="F78" s="1" t="s">
        <v>112</v>
      </c>
      <c r="G78" s="1" t="s">
        <v>85</v>
      </c>
      <c r="H78" s="1" t="s">
        <v>462</v>
      </c>
    </row>
    <row r="79" spans="1:8" ht="81.75" customHeight="1">
      <c r="A79" s="1" t="s">
        <v>1017</v>
      </c>
      <c r="B79" s="1" t="s">
        <v>466</v>
      </c>
      <c r="C79" s="1" t="s">
        <v>467</v>
      </c>
      <c r="D79" s="1" t="s">
        <v>927</v>
      </c>
      <c r="E79" s="5" t="s">
        <v>1018</v>
      </c>
      <c r="F79" s="1" t="s">
        <v>156</v>
      </c>
      <c r="G79" s="1" t="s">
        <v>85</v>
      </c>
      <c r="H79" s="1" t="s">
        <v>929</v>
      </c>
    </row>
    <row r="80" spans="1:8" ht="81.75" customHeight="1">
      <c r="A80" s="1" t="s">
        <v>1019</v>
      </c>
      <c r="B80" s="1" t="s">
        <v>466</v>
      </c>
      <c r="C80" s="1" t="s">
        <v>467</v>
      </c>
      <c r="D80" s="1" t="s">
        <v>927</v>
      </c>
      <c r="E80" s="5" t="s">
        <v>1020</v>
      </c>
      <c r="F80" s="1" t="s">
        <v>156</v>
      </c>
      <c r="G80" s="1" t="s">
        <v>85</v>
      </c>
      <c r="H80" s="1" t="s">
        <v>929</v>
      </c>
    </row>
    <row r="81" spans="1:8" ht="81.75" customHeight="1">
      <c r="A81" s="1" t="s">
        <v>1021</v>
      </c>
      <c r="B81" s="1" t="s">
        <v>466</v>
      </c>
      <c r="C81" s="1" t="s">
        <v>467</v>
      </c>
      <c r="D81" s="1" t="s">
        <v>932</v>
      </c>
      <c r="E81" s="5" t="s">
        <v>479</v>
      </c>
      <c r="F81" s="1" t="s">
        <v>79</v>
      </c>
      <c r="G81" s="1" t="s">
        <v>85</v>
      </c>
      <c r="H81" s="1" t="s">
        <v>476</v>
      </c>
    </row>
    <row r="82" spans="1:8" ht="81.75" customHeight="1">
      <c r="A82" s="1" t="s">
        <v>1022</v>
      </c>
      <c r="B82" s="1" t="s">
        <v>481</v>
      </c>
      <c r="C82" s="1" t="s">
        <v>482</v>
      </c>
      <c r="D82" s="1" t="s">
        <v>927</v>
      </c>
      <c r="E82" s="5" t="s">
        <v>494</v>
      </c>
      <c r="F82" s="1" t="s">
        <v>156</v>
      </c>
      <c r="G82" s="1" t="s">
        <v>85</v>
      </c>
      <c r="H82" s="1" t="s">
        <v>929</v>
      </c>
    </row>
    <row r="83" spans="1:8" ht="81.75" customHeight="1">
      <c r="A83" s="1" t="s">
        <v>1023</v>
      </c>
      <c r="B83" s="1" t="s">
        <v>481</v>
      </c>
      <c r="C83" s="1" t="s">
        <v>482</v>
      </c>
      <c r="D83" s="1" t="s">
        <v>932</v>
      </c>
      <c r="E83" s="5" t="s">
        <v>495</v>
      </c>
      <c r="F83" s="1" t="s">
        <v>112</v>
      </c>
      <c r="G83" s="1" t="s">
        <v>85</v>
      </c>
      <c r="H83" s="1" t="s">
        <v>492</v>
      </c>
    </row>
    <row r="84" spans="1:8" ht="81.75" customHeight="1">
      <c r="A84" s="1" t="s">
        <v>1024</v>
      </c>
      <c r="B84" s="1" t="s">
        <v>497</v>
      </c>
      <c r="C84" s="1" t="s">
        <v>498</v>
      </c>
      <c r="D84" s="1" t="s">
        <v>927</v>
      </c>
      <c r="E84" s="5" t="s">
        <v>505</v>
      </c>
      <c r="F84" s="1" t="s">
        <v>156</v>
      </c>
      <c r="G84" s="1" t="s">
        <v>85</v>
      </c>
      <c r="H84" s="1" t="s">
        <v>929</v>
      </c>
    </row>
    <row r="85" spans="1:8" ht="81.75" customHeight="1">
      <c r="A85" s="1" t="s">
        <v>1025</v>
      </c>
      <c r="B85" s="1" t="s">
        <v>497</v>
      </c>
      <c r="C85" s="1" t="s">
        <v>498</v>
      </c>
      <c r="D85" s="1" t="s">
        <v>927</v>
      </c>
      <c r="E85" s="5" t="s">
        <v>550</v>
      </c>
      <c r="F85" s="1" t="s">
        <v>156</v>
      </c>
      <c r="G85" s="1" t="s">
        <v>85</v>
      </c>
      <c r="H85" s="1" t="s">
        <v>929</v>
      </c>
    </row>
    <row r="86" spans="1:8" ht="81.75" customHeight="1">
      <c r="A86" s="1" t="s">
        <v>1026</v>
      </c>
      <c r="B86" s="1" t="s">
        <v>497</v>
      </c>
      <c r="C86" s="1" t="s">
        <v>498</v>
      </c>
      <c r="D86" s="1" t="s">
        <v>932</v>
      </c>
      <c r="E86" s="5" t="s">
        <v>505</v>
      </c>
      <c r="F86" s="1" t="s">
        <v>79</v>
      </c>
      <c r="G86" s="1" t="s">
        <v>85</v>
      </c>
      <c r="H86" s="1" t="s">
        <v>507</v>
      </c>
    </row>
    <row r="87" spans="1:8" ht="81.75" customHeight="1">
      <c r="A87" s="1" t="s">
        <v>1027</v>
      </c>
      <c r="B87" s="1" t="s">
        <v>511</v>
      </c>
      <c r="C87" s="1" t="s">
        <v>512</v>
      </c>
      <c r="D87" s="1" t="s">
        <v>927</v>
      </c>
      <c r="E87" s="5" t="s">
        <v>521</v>
      </c>
      <c r="F87" s="1" t="s">
        <v>156</v>
      </c>
      <c r="G87" s="1" t="s">
        <v>85</v>
      </c>
      <c r="H87" s="1" t="s">
        <v>929</v>
      </c>
    </row>
    <row r="88" spans="1:8" ht="81.75" customHeight="1">
      <c r="A88" s="1" t="s">
        <v>1028</v>
      </c>
      <c r="B88" s="1" t="s">
        <v>511</v>
      </c>
      <c r="C88" s="1" t="s">
        <v>512</v>
      </c>
      <c r="D88" s="1" t="s">
        <v>932</v>
      </c>
      <c r="E88" s="5" t="s">
        <v>521</v>
      </c>
      <c r="F88" s="1" t="s">
        <v>79</v>
      </c>
      <c r="G88" s="1" t="s">
        <v>85</v>
      </c>
      <c r="H88" s="1" t="s">
        <v>523</v>
      </c>
    </row>
    <row r="89" spans="1:8" ht="81.75" customHeight="1">
      <c r="A89" s="1" t="s">
        <v>1029</v>
      </c>
      <c r="B89" s="1" t="s">
        <v>525</v>
      </c>
      <c r="C89" s="1" t="s">
        <v>526</v>
      </c>
      <c r="D89" s="1" t="s">
        <v>927</v>
      </c>
      <c r="E89" s="5" t="s">
        <v>537</v>
      </c>
      <c r="F89" s="1" t="s">
        <v>156</v>
      </c>
      <c r="G89" s="1" t="s">
        <v>85</v>
      </c>
      <c r="H89" s="1" t="s">
        <v>929</v>
      </c>
    </row>
    <row r="90" spans="1:8" ht="81.75" customHeight="1">
      <c r="A90" s="1" t="s">
        <v>1030</v>
      </c>
      <c r="B90" s="1" t="s">
        <v>525</v>
      </c>
      <c r="C90" s="1" t="s">
        <v>526</v>
      </c>
      <c r="D90" s="1" t="s">
        <v>932</v>
      </c>
      <c r="E90" s="5" t="s">
        <v>537</v>
      </c>
      <c r="F90" s="1" t="s">
        <v>112</v>
      </c>
      <c r="G90" s="1" t="s">
        <v>85</v>
      </c>
      <c r="H90" s="1" t="s">
        <v>535</v>
      </c>
    </row>
    <row r="91" spans="1:8" ht="81.75" customHeight="1">
      <c r="A91" s="1" t="s">
        <v>1031</v>
      </c>
      <c r="B91" s="1" t="s">
        <v>539</v>
      </c>
      <c r="C91" s="1" t="s">
        <v>540</v>
      </c>
      <c r="D91" s="1" t="s">
        <v>927</v>
      </c>
      <c r="E91" s="5" t="s">
        <v>550</v>
      </c>
      <c r="F91" s="1" t="s">
        <v>156</v>
      </c>
      <c r="G91" s="1" t="s">
        <v>85</v>
      </c>
      <c r="H91" s="1" t="s">
        <v>929</v>
      </c>
    </row>
    <row r="92" spans="1:8" ht="81.75" customHeight="1">
      <c r="A92" s="1" t="s">
        <v>1032</v>
      </c>
      <c r="B92" s="1" t="s">
        <v>539</v>
      </c>
      <c r="C92" s="1" t="s">
        <v>540</v>
      </c>
      <c r="D92" s="1" t="s">
        <v>927</v>
      </c>
      <c r="E92" s="5" t="s">
        <v>545</v>
      </c>
      <c r="F92" s="1" t="s">
        <v>156</v>
      </c>
      <c r="G92" s="1" t="s">
        <v>85</v>
      </c>
      <c r="H92" s="1" t="s">
        <v>929</v>
      </c>
    </row>
    <row r="93" spans="1:8" ht="81.75" customHeight="1">
      <c r="A93" s="1" t="s">
        <v>1033</v>
      </c>
      <c r="B93" s="1" t="s">
        <v>539</v>
      </c>
      <c r="C93" s="1" t="s">
        <v>540</v>
      </c>
      <c r="D93" s="1" t="s">
        <v>932</v>
      </c>
      <c r="E93" s="5" t="s">
        <v>550</v>
      </c>
      <c r="F93" s="1" t="s">
        <v>79</v>
      </c>
      <c r="G93" s="1" t="s">
        <v>85</v>
      </c>
      <c r="H93" s="1" t="s">
        <v>547</v>
      </c>
    </row>
    <row r="94" spans="1:8" ht="81.75" customHeight="1">
      <c r="A94" s="1" t="s">
        <v>1034</v>
      </c>
      <c r="B94" s="1" t="s">
        <v>551</v>
      </c>
      <c r="C94" s="1" t="s">
        <v>552</v>
      </c>
      <c r="D94" s="1" t="s">
        <v>927</v>
      </c>
      <c r="E94" s="5" t="s">
        <v>1035</v>
      </c>
      <c r="F94" s="1" t="s">
        <v>81</v>
      </c>
      <c r="G94" s="1" t="s">
        <v>85</v>
      </c>
      <c r="H94" s="1" t="s">
        <v>929</v>
      </c>
    </row>
    <row r="95" spans="1:8" ht="81.75" customHeight="1">
      <c r="A95" s="1" t="s">
        <v>1036</v>
      </c>
      <c r="B95" s="1" t="s">
        <v>551</v>
      </c>
      <c r="C95" s="1" t="s">
        <v>552</v>
      </c>
      <c r="D95" s="1" t="s">
        <v>927</v>
      </c>
      <c r="E95" s="5" t="s">
        <v>564</v>
      </c>
      <c r="F95" s="1" t="s">
        <v>81</v>
      </c>
      <c r="G95" s="1" t="s">
        <v>85</v>
      </c>
      <c r="H95" s="1" t="s">
        <v>929</v>
      </c>
    </row>
    <row r="96" spans="1:8" ht="81.75" customHeight="1">
      <c r="A96" s="1" t="s">
        <v>1037</v>
      </c>
      <c r="B96" s="1" t="s">
        <v>551</v>
      </c>
      <c r="C96" s="1" t="s">
        <v>552</v>
      </c>
      <c r="D96" s="1" t="s">
        <v>932</v>
      </c>
      <c r="E96" s="5" t="s">
        <v>564</v>
      </c>
      <c r="F96" s="1" t="s">
        <v>112</v>
      </c>
      <c r="G96" s="1" t="s">
        <v>85</v>
      </c>
      <c r="H96" s="1" t="s">
        <v>561</v>
      </c>
    </row>
    <row r="97" spans="1:8" ht="81.75" customHeight="1">
      <c r="A97" s="1" t="s">
        <v>1038</v>
      </c>
      <c r="B97" s="1" t="s">
        <v>565</v>
      </c>
      <c r="C97" s="1" t="s">
        <v>566</v>
      </c>
      <c r="D97" s="1" t="s">
        <v>927</v>
      </c>
      <c r="E97" s="5" t="s">
        <v>1039</v>
      </c>
      <c r="F97" s="1" t="s">
        <v>81</v>
      </c>
      <c r="G97" s="1" t="s">
        <v>85</v>
      </c>
      <c r="H97" s="1" t="s">
        <v>929</v>
      </c>
    </row>
    <row r="98" spans="1:8" ht="81.75" customHeight="1">
      <c r="A98" s="1" t="s">
        <v>1040</v>
      </c>
      <c r="B98" s="1" t="s">
        <v>565</v>
      </c>
      <c r="C98" s="1" t="s">
        <v>566</v>
      </c>
      <c r="D98" s="1" t="s">
        <v>927</v>
      </c>
      <c r="E98" s="5" t="s">
        <v>1041</v>
      </c>
      <c r="F98" s="1" t="s">
        <v>81</v>
      </c>
      <c r="G98" s="1" t="s">
        <v>85</v>
      </c>
      <c r="H98" s="1" t="s">
        <v>929</v>
      </c>
    </row>
    <row r="99" spans="1:8" ht="81.75" customHeight="1">
      <c r="A99" s="1" t="s">
        <v>1042</v>
      </c>
      <c r="B99" s="1" t="s">
        <v>565</v>
      </c>
      <c r="C99" s="1" t="s">
        <v>566</v>
      </c>
      <c r="D99" s="1" t="s">
        <v>932</v>
      </c>
      <c r="E99" s="5" t="s">
        <v>576</v>
      </c>
      <c r="F99" s="1" t="s">
        <v>112</v>
      </c>
      <c r="G99" s="1" t="s">
        <v>85</v>
      </c>
      <c r="H99" s="1" t="s">
        <v>573</v>
      </c>
    </row>
    <row r="100" spans="1:8" ht="81.75" customHeight="1">
      <c r="A100" s="1" t="s">
        <v>1043</v>
      </c>
      <c r="B100" s="1" t="s">
        <v>577</v>
      </c>
      <c r="C100" s="1" t="s">
        <v>578</v>
      </c>
      <c r="D100" s="1" t="s">
        <v>927</v>
      </c>
      <c r="E100" s="5" t="s">
        <v>1044</v>
      </c>
      <c r="F100" s="1" t="s">
        <v>81</v>
      </c>
      <c r="G100" s="1" t="s">
        <v>85</v>
      </c>
      <c r="H100" s="1" t="s">
        <v>929</v>
      </c>
    </row>
    <row r="101" spans="1:8" ht="81.75" customHeight="1">
      <c r="A101" s="1" t="s">
        <v>1045</v>
      </c>
      <c r="B101" s="1" t="s">
        <v>577</v>
      </c>
      <c r="C101" s="1" t="s">
        <v>578</v>
      </c>
      <c r="D101" s="1" t="s">
        <v>927</v>
      </c>
      <c r="E101" s="5" t="s">
        <v>591</v>
      </c>
      <c r="F101" s="1" t="s">
        <v>81</v>
      </c>
      <c r="G101" s="1" t="s">
        <v>85</v>
      </c>
      <c r="H101" s="1" t="s">
        <v>929</v>
      </c>
    </row>
    <row r="102" spans="1:8" ht="81.75" customHeight="1">
      <c r="A102" s="1" t="s">
        <v>1046</v>
      </c>
      <c r="B102" s="1" t="s">
        <v>577</v>
      </c>
      <c r="C102" s="1" t="s">
        <v>578</v>
      </c>
      <c r="D102" s="1" t="s">
        <v>932</v>
      </c>
      <c r="E102" s="5" t="s">
        <v>591</v>
      </c>
      <c r="F102" s="1" t="s">
        <v>79</v>
      </c>
      <c r="G102" s="1" t="s">
        <v>85</v>
      </c>
      <c r="H102" s="1" t="s">
        <v>588</v>
      </c>
    </row>
    <row r="103" spans="1:8" ht="81.75" customHeight="1">
      <c r="A103" s="1" t="s">
        <v>1047</v>
      </c>
      <c r="B103" s="1" t="s">
        <v>593</v>
      </c>
      <c r="C103" s="1" t="s">
        <v>594</v>
      </c>
      <c r="D103" s="1" t="s">
        <v>927</v>
      </c>
      <c r="E103" s="5" t="s">
        <v>1048</v>
      </c>
      <c r="F103" s="1" t="s">
        <v>81</v>
      </c>
      <c r="G103" s="1" t="s">
        <v>85</v>
      </c>
      <c r="H103" s="1" t="s">
        <v>929</v>
      </c>
    </row>
    <row r="104" spans="1:8" ht="81.75" customHeight="1">
      <c r="A104" s="1" t="s">
        <v>1049</v>
      </c>
      <c r="B104" s="1" t="s">
        <v>593</v>
      </c>
      <c r="C104" s="1" t="s">
        <v>594</v>
      </c>
      <c r="D104" s="1" t="s">
        <v>927</v>
      </c>
      <c r="E104" s="5" t="s">
        <v>1050</v>
      </c>
      <c r="F104" s="1" t="s">
        <v>81</v>
      </c>
      <c r="G104" s="1" t="s">
        <v>85</v>
      </c>
      <c r="H104" s="1" t="s">
        <v>929</v>
      </c>
    </row>
    <row r="105" spans="1:8" ht="81.75" customHeight="1">
      <c r="A105" s="1" t="s">
        <v>1051</v>
      </c>
      <c r="B105" s="1" t="s">
        <v>593</v>
      </c>
      <c r="C105" s="1" t="s">
        <v>594</v>
      </c>
      <c r="D105" s="1" t="s">
        <v>932</v>
      </c>
      <c r="E105" s="5" t="s">
        <v>606</v>
      </c>
      <c r="F105" s="1" t="s">
        <v>79</v>
      </c>
      <c r="G105" s="1" t="s">
        <v>85</v>
      </c>
      <c r="H105" s="1" t="s">
        <v>603</v>
      </c>
    </row>
    <row r="106" spans="1:8" ht="81.75" customHeight="1">
      <c r="A106" s="1" t="s">
        <v>1052</v>
      </c>
      <c r="B106" s="1" t="s">
        <v>608</v>
      </c>
      <c r="C106" s="1" t="s">
        <v>609</v>
      </c>
      <c r="D106" s="1" t="s">
        <v>927</v>
      </c>
      <c r="E106" s="5" t="s">
        <v>1053</v>
      </c>
      <c r="F106" s="1" t="s">
        <v>81</v>
      </c>
      <c r="G106" s="1" t="s">
        <v>85</v>
      </c>
      <c r="H106" s="1" t="s">
        <v>929</v>
      </c>
    </row>
    <row r="107" spans="1:8" ht="81.75" customHeight="1">
      <c r="A107" s="1" t="s">
        <v>1054</v>
      </c>
      <c r="B107" s="1" t="s">
        <v>608</v>
      </c>
      <c r="C107" s="1" t="s">
        <v>609</v>
      </c>
      <c r="D107" s="1" t="s">
        <v>927</v>
      </c>
      <c r="E107" s="5" t="s">
        <v>615</v>
      </c>
      <c r="F107" s="1" t="s">
        <v>81</v>
      </c>
      <c r="G107" s="1" t="s">
        <v>85</v>
      </c>
      <c r="H107" s="1" t="s">
        <v>929</v>
      </c>
    </row>
    <row r="108" spans="1:8" ht="81.75" customHeight="1">
      <c r="A108" s="1" t="s">
        <v>1055</v>
      </c>
      <c r="B108" s="1" t="s">
        <v>608</v>
      </c>
      <c r="C108" s="1" t="s">
        <v>609</v>
      </c>
      <c r="D108" s="1" t="s">
        <v>932</v>
      </c>
      <c r="E108" s="5" t="s">
        <v>615</v>
      </c>
      <c r="F108" s="1" t="s">
        <v>112</v>
      </c>
      <c r="G108" s="1" t="s">
        <v>85</v>
      </c>
      <c r="H108" s="1" t="s">
        <v>617</v>
      </c>
    </row>
    <row r="109" spans="1:8" ht="81.75" customHeight="1">
      <c r="A109" s="1" t="s">
        <v>1056</v>
      </c>
      <c r="B109" s="1" t="s">
        <v>621</v>
      </c>
      <c r="C109" s="1" t="s">
        <v>622</v>
      </c>
      <c r="D109" s="1" t="s">
        <v>927</v>
      </c>
      <c r="E109" s="5" t="s">
        <v>638</v>
      </c>
      <c r="F109" s="1" t="s">
        <v>156</v>
      </c>
      <c r="G109" s="1" t="s">
        <v>85</v>
      </c>
      <c r="H109" s="1" t="s">
        <v>929</v>
      </c>
    </row>
    <row r="110" spans="1:8" ht="81.75" customHeight="1">
      <c r="A110" s="1" t="s">
        <v>1057</v>
      </c>
      <c r="B110" s="1" t="s">
        <v>621</v>
      </c>
      <c r="C110" s="1" t="s">
        <v>622</v>
      </c>
      <c r="D110" s="1" t="s">
        <v>932</v>
      </c>
      <c r="E110" s="5" t="s">
        <v>638</v>
      </c>
      <c r="F110" s="1" t="s">
        <v>79</v>
      </c>
      <c r="G110" s="1" t="s">
        <v>85</v>
      </c>
      <c r="H110" s="1" t="s">
        <v>636</v>
      </c>
    </row>
    <row r="111" spans="1:8" ht="81.75" customHeight="1">
      <c r="A111" s="1" t="s">
        <v>1058</v>
      </c>
      <c r="B111" s="1" t="s">
        <v>639</v>
      </c>
      <c r="C111" s="1" t="s">
        <v>640</v>
      </c>
      <c r="D111" s="1" t="s">
        <v>927</v>
      </c>
      <c r="E111" s="5" t="s">
        <v>650</v>
      </c>
      <c r="F111" s="1" t="s">
        <v>156</v>
      </c>
      <c r="G111" s="1" t="s">
        <v>85</v>
      </c>
      <c r="H111" s="1" t="s">
        <v>929</v>
      </c>
    </row>
    <row r="112" spans="1:8" ht="81.75" customHeight="1">
      <c r="A112" s="1" t="s">
        <v>1059</v>
      </c>
      <c r="B112" s="1" t="s">
        <v>639</v>
      </c>
      <c r="C112" s="1" t="s">
        <v>640</v>
      </c>
      <c r="D112" s="1" t="s">
        <v>932</v>
      </c>
      <c r="E112" s="5" t="s">
        <v>650</v>
      </c>
      <c r="F112" s="1" t="s">
        <v>79</v>
      </c>
      <c r="G112" s="1" t="s">
        <v>85</v>
      </c>
      <c r="H112" s="1" t="s">
        <v>652</v>
      </c>
    </row>
    <row r="113" spans="1:8" ht="81.75" customHeight="1">
      <c r="A113" s="1" t="s">
        <v>1060</v>
      </c>
      <c r="B113" s="1" t="s">
        <v>655</v>
      </c>
      <c r="C113" s="1" t="s">
        <v>656</v>
      </c>
      <c r="D113" s="1" t="s">
        <v>927</v>
      </c>
      <c r="E113" s="5" t="s">
        <v>672</v>
      </c>
      <c r="F113" s="1" t="s">
        <v>156</v>
      </c>
      <c r="G113" s="1" t="s">
        <v>85</v>
      </c>
      <c r="H113" s="1" t="s">
        <v>929</v>
      </c>
    </row>
    <row r="114" spans="1:8" ht="81.75" customHeight="1">
      <c r="A114" s="1" t="s">
        <v>1061</v>
      </c>
      <c r="B114" s="1" t="s">
        <v>655</v>
      </c>
      <c r="C114" s="1" t="s">
        <v>656</v>
      </c>
      <c r="D114" s="1" t="s">
        <v>932</v>
      </c>
      <c r="E114" s="5" t="s">
        <v>672</v>
      </c>
      <c r="F114" s="1" t="s">
        <v>669</v>
      </c>
      <c r="G114" s="1" t="s">
        <v>85</v>
      </c>
      <c r="H114" s="1" t="s">
        <v>670</v>
      </c>
    </row>
    <row r="115" spans="1:8" ht="81.75" customHeight="1">
      <c r="A115" s="1" t="s">
        <v>1062</v>
      </c>
      <c r="B115" s="1" t="s">
        <v>674</v>
      </c>
      <c r="C115" s="1" t="s">
        <v>675</v>
      </c>
      <c r="D115" s="1" t="s">
        <v>927</v>
      </c>
      <c r="E115" s="5" t="s">
        <v>683</v>
      </c>
      <c r="F115" s="1" t="s">
        <v>156</v>
      </c>
      <c r="G115" s="1" t="s">
        <v>85</v>
      </c>
      <c r="H115" s="1" t="s">
        <v>929</v>
      </c>
    </row>
    <row r="116" spans="1:8" ht="81.75" customHeight="1">
      <c r="A116" s="1" t="s">
        <v>1063</v>
      </c>
      <c r="B116" s="1" t="s">
        <v>674</v>
      </c>
      <c r="C116" s="1" t="s">
        <v>675</v>
      </c>
      <c r="D116" s="1" t="s">
        <v>932</v>
      </c>
      <c r="E116" s="5" t="s">
        <v>683</v>
      </c>
      <c r="F116" s="1" t="s">
        <v>79</v>
      </c>
      <c r="G116" s="1" t="s">
        <v>85</v>
      </c>
      <c r="H116" s="1" t="s">
        <v>685</v>
      </c>
    </row>
    <row r="117" spans="1:8" ht="81.75" customHeight="1">
      <c r="A117" s="1" t="s">
        <v>1064</v>
      </c>
      <c r="B117" s="1" t="s">
        <v>687</v>
      </c>
      <c r="C117" s="1" t="s">
        <v>688</v>
      </c>
      <c r="D117" s="1" t="s">
        <v>927</v>
      </c>
      <c r="E117" s="5" t="s">
        <v>703</v>
      </c>
      <c r="F117" s="1" t="s">
        <v>156</v>
      </c>
      <c r="G117" s="1" t="s">
        <v>85</v>
      </c>
      <c r="H117" s="1" t="s">
        <v>929</v>
      </c>
    </row>
    <row r="118" spans="1:8" ht="81.75" customHeight="1">
      <c r="A118" s="1" t="s">
        <v>1065</v>
      </c>
      <c r="B118" s="1" t="s">
        <v>687</v>
      </c>
      <c r="C118" s="1" t="s">
        <v>688</v>
      </c>
      <c r="D118" s="1" t="s">
        <v>932</v>
      </c>
      <c r="E118" s="5" t="s">
        <v>704</v>
      </c>
      <c r="F118" s="1" t="s">
        <v>79</v>
      </c>
      <c r="G118" s="1" t="s">
        <v>85</v>
      </c>
      <c r="H118" s="1" t="s">
        <v>701</v>
      </c>
    </row>
    <row r="119" spans="1:8" ht="81.75" customHeight="1">
      <c r="A119" s="1" t="s">
        <v>1066</v>
      </c>
      <c r="B119" s="1" t="s">
        <v>706</v>
      </c>
      <c r="C119" s="1" t="s">
        <v>707</v>
      </c>
      <c r="D119" s="1" t="s">
        <v>927</v>
      </c>
      <c r="E119" s="5" t="s">
        <v>715</v>
      </c>
      <c r="F119" s="1" t="s">
        <v>81</v>
      </c>
      <c r="G119" s="1" t="s">
        <v>85</v>
      </c>
      <c r="H119" s="1" t="s">
        <v>929</v>
      </c>
    </row>
    <row r="120" spans="1:8" ht="81.75" customHeight="1">
      <c r="A120" s="1" t="s">
        <v>1067</v>
      </c>
      <c r="B120" s="1" t="s">
        <v>706</v>
      </c>
      <c r="C120" s="1" t="s">
        <v>707</v>
      </c>
      <c r="D120" s="1" t="s">
        <v>927</v>
      </c>
      <c r="E120" s="5" t="s">
        <v>1068</v>
      </c>
      <c r="F120" s="1" t="s">
        <v>81</v>
      </c>
      <c r="G120" s="1" t="s">
        <v>85</v>
      </c>
      <c r="H120" s="1" t="s">
        <v>929</v>
      </c>
    </row>
    <row r="121" spans="1:8" ht="81.75" customHeight="1">
      <c r="A121" s="1" t="s">
        <v>1069</v>
      </c>
      <c r="B121" s="1" t="s">
        <v>706</v>
      </c>
      <c r="C121" s="1" t="s">
        <v>707</v>
      </c>
      <c r="D121" s="1" t="s">
        <v>932</v>
      </c>
      <c r="E121" s="5" t="s">
        <v>715</v>
      </c>
      <c r="F121" s="1" t="s">
        <v>112</v>
      </c>
      <c r="G121" s="1" t="s">
        <v>85</v>
      </c>
      <c r="H121" s="1" t="s">
        <v>717</v>
      </c>
    </row>
    <row r="122" spans="1:8" ht="81.75" customHeight="1">
      <c r="A122" s="1" t="s">
        <v>1070</v>
      </c>
      <c r="B122" s="1" t="s">
        <v>721</v>
      </c>
      <c r="C122" s="1" t="s">
        <v>722</v>
      </c>
      <c r="D122" s="1" t="s">
        <v>927</v>
      </c>
      <c r="E122" s="5" t="s">
        <v>730</v>
      </c>
      <c r="F122" s="1" t="s">
        <v>156</v>
      </c>
      <c r="G122" s="1" t="s">
        <v>85</v>
      </c>
      <c r="H122" s="1" t="s">
        <v>929</v>
      </c>
    </row>
    <row r="123" spans="1:8" ht="81.75" customHeight="1">
      <c r="A123" s="1" t="s">
        <v>1071</v>
      </c>
      <c r="B123" s="1" t="s">
        <v>721</v>
      </c>
      <c r="C123" s="1" t="s">
        <v>722</v>
      </c>
      <c r="D123" s="1" t="s">
        <v>932</v>
      </c>
      <c r="E123" s="5" t="s">
        <v>730</v>
      </c>
      <c r="F123" s="1" t="s">
        <v>79</v>
      </c>
      <c r="G123" s="1" t="s">
        <v>85</v>
      </c>
      <c r="H123" s="1" t="s">
        <v>732</v>
      </c>
    </row>
    <row r="124" spans="1:8" ht="81.75" customHeight="1">
      <c r="A124" s="1" t="s">
        <v>1072</v>
      </c>
      <c r="B124" s="1" t="s">
        <v>735</v>
      </c>
      <c r="C124" s="1" t="s">
        <v>736</v>
      </c>
      <c r="D124" s="1" t="s">
        <v>927</v>
      </c>
      <c r="E124" s="5" t="s">
        <v>747</v>
      </c>
      <c r="F124" s="1" t="s">
        <v>156</v>
      </c>
      <c r="G124" s="1" t="s">
        <v>85</v>
      </c>
      <c r="H124" s="1" t="s">
        <v>929</v>
      </c>
    </row>
    <row r="125" spans="1:8" ht="81.75" customHeight="1">
      <c r="A125" s="1" t="s">
        <v>1073</v>
      </c>
      <c r="B125" s="1" t="s">
        <v>735</v>
      </c>
      <c r="C125" s="1" t="s">
        <v>736</v>
      </c>
      <c r="D125" s="1" t="s">
        <v>932</v>
      </c>
      <c r="E125" s="5" t="s">
        <v>747</v>
      </c>
      <c r="F125" s="1" t="s">
        <v>79</v>
      </c>
      <c r="G125" s="1" t="s">
        <v>85</v>
      </c>
      <c r="H125" s="1" t="s">
        <v>745</v>
      </c>
    </row>
    <row r="126" spans="1:8" ht="81.75" customHeight="1">
      <c r="A126" s="1" t="s">
        <v>1074</v>
      </c>
      <c r="C126" s="1" t="s">
        <v>1075</v>
      </c>
      <c r="D126" s="1" t="s">
        <v>1076</v>
      </c>
      <c r="E126" s="5" t="s">
        <v>672</v>
      </c>
      <c r="F126" s="1" t="s">
        <v>1077</v>
      </c>
      <c r="G126" s="1" t="s">
        <v>85</v>
      </c>
      <c r="H126" s="1" t="s">
        <v>1078</v>
      </c>
    </row>
    <row r="127" spans="1:8" ht="81.75" customHeight="1">
      <c r="A127" s="1" t="s">
        <v>783</v>
      </c>
      <c r="C127" s="1" t="s">
        <v>1079</v>
      </c>
      <c r="D127" s="1" t="s">
        <v>1076</v>
      </c>
      <c r="E127" s="5" t="s">
        <v>683</v>
      </c>
      <c r="F127" s="1" t="s">
        <v>1080</v>
      </c>
      <c r="G127" s="1" t="s">
        <v>85</v>
      </c>
      <c r="H127" s="1" t="s">
        <v>1081</v>
      </c>
    </row>
    <row r="128" spans="1:8" ht="81.75" customHeight="1">
      <c r="A128" s="1" t="s">
        <v>1082</v>
      </c>
      <c r="C128" s="1" t="s">
        <v>1083</v>
      </c>
      <c r="D128" s="1" t="s">
        <v>1076</v>
      </c>
      <c r="E128" s="5" t="s">
        <v>747</v>
      </c>
      <c r="F128" s="1" t="s">
        <v>1084</v>
      </c>
      <c r="G128" s="1" t="s">
        <v>85</v>
      </c>
      <c r="H128" s="1" t="s">
        <v>1085</v>
      </c>
    </row>
    <row r="129" spans="1:8" ht="81.75" customHeight="1">
      <c r="A129" s="1" t="s">
        <v>1086</v>
      </c>
      <c r="C129" s="1" t="s">
        <v>1087</v>
      </c>
      <c r="D129" s="1" t="s">
        <v>1076</v>
      </c>
      <c r="E129" s="5" t="s">
        <v>704</v>
      </c>
      <c r="F129" s="1" t="s">
        <v>1077</v>
      </c>
      <c r="G129" s="1" t="s">
        <v>85</v>
      </c>
      <c r="H129" s="1" t="s">
        <v>1088</v>
      </c>
    </row>
    <row r="130" spans="1:8" ht="81.75" customHeight="1">
      <c r="A130" s="1" t="s">
        <v>1089</v>
      </c>
      <c r="C130" s="1" t="s">
        <v>1090</v>
      </c>
      <c r="D130" s="1" t="s">
        <v>1076</v>
      </c>
      <c r="E130" s="5" t="s">
        <v>650</v>
      </c>
      <c r="F130" s="1" t="s">
        <v>1091</v>
      </c>
      <c r="G130" s="1" t="s">
        <v>85</v>
      </c>
      <c r="H130" s="1" t="s">
        <v>1092</v>
      </c>
    </row>
    <row r="131" spans="1:8" ht="81.75" customHeight="1">
      <c r="A131" s="1" t="s">
        <v>1093</v>
      </c>
      <c r="C131" s="1" t="s">
        <v>1094</v>
      </c>
      <c r="D131" s="1" t="s">
        <v>1076</v>
      </c>
      <c r="E131" s="5" t="s">
        <v>1095</v>
      </c>
      <c r="F131" s="1" t="s">
        <v>1096</v>
      </c>
      <c r="G131" s="1" t="s">
        <v>85</v>
      </c>
      <c r="H131" s="1" t="s">
        <v>1097</v>
      </c>
    </row>
    <row r="132" spans="1:8" ht="81.75" customHeight="1">
      <c r="A132" s="1" t="s">
        <v>1098</v>
      </c>
      <c r="C132" s="1" t="s">
        <v>1099</v>
      </c>
      <c r="D132" s="1" t="s">
        <v>1076</v>
      </c>
      <c r="E132" s="5" t="s">
        <v>1100</v>
      </c>
      <c r="F132" s="1" t="s">
        <v>1096</v>
      </c>
      <c r="G132" s="1" t="s">
        <v>85</v>
      </c>
      <c r="H132" s="1" t="s">
        <v>1101</v>
      </c>
    </row>
    <row r="133" spans="1:8" ht="81.75" customHeight="1">
      <c r="A133" s="1" t="s">
        <v>1102</v>
      </c>
      <c r="C133" s="1" t="s">
        <v>1103</v>
      </c>
      <c r="D133" s="1" t="s">
        <v>1076</v>
      </c>
      <c r="E133" s="5" t="s">
        <v>1104</v>
      </c>
      <c r="F133" s="1" t="s">
        <v>1105</v>
      </c>
      <c r="G133" s="1" t="s">
        <v>85</v>
      </c>
      <c r="H133" s="1" t="s">
        <v>1106</v>
      </c>
    </row>
    <row r="134" spans="1:8" ht="81.75" customHeight="1">
      <c r="A134" s="1" t="s">
        <v>1107</v>
      </c>
      <c r="C134" s="1" t="s">
        <v>1108</v>
      </c>
      <c r="D134" s="1" t="s">
        <v>1076</v>
      </c>
      <c r="E134" s="5" t="s">
        <v>1109</v>
      </c>
      <c r="F134" s="1" t="s">
        <v>1110</v>
      </c>
      <c r="G134" s="1" t="s">
        <v>85</v>
      </c>
      <c r="H134" s="1" t="s">
        <v>1111</v>
      </c>
    </row>
    <row r="135" spans="1:8" ht="81.75" customHeight="1">
      <c r="A135" s="1" t="s">
        <v>1112</v>
      </c>
      <c r="C135" s="1" t="s">
        <v>1113</v>
      </c>
      <c r="D135" s="1" t="s">
        <v>1076</v>
      </c>
      <c r="E135" s="5" t="s">
        <v>1114</v>
      </c>
      <c r="F135" s="1" t="s">
        <v>1096</v>
      </c>
      <c r="G135" s="1" t="s">
        <v>85</v>
      </c>
      <c r="H135" s="1" t="s">
        <v>1115</v>
      </c>
    </row>
    <row r="136" spans="1:8" ht="81.75" customHeight="1">
      <c r="A136" s="1" t="s">
        <v>1116</v>
      </c>
      <c r="C136" s="1" t="s">
        <v>1117</v>
      </c>
      <c r="D136" s="1" t="s">
        <v>1118</v>
      </c>
      <c r="E136" s="5" t="s">
        <v>1119</v>
      </c>
      <c r="F136" s="1" t="s">
        <v>1120</v>
      </c>
      <c r="G136" s="1" t="s">
        <v>85</v>
      </c>
      <c r="H136" s="1" t="s">
        <v>1121</v>
      </c>
    </row>
    <row r="137" spans="1:8" ht="81.75" customHeight="1">
      <c r="A137" s="1" t="s">
        <v>1122</v>
      </c>
      <c r="C137" s="1" t="s">
        <v>1123</v>
      </c>
      <c r="D137" s="1" t="s">
        <v>1118</v>
      </c>
      <c r="E137" s="5" t="s">
        <v>1124</v>
      </c>
      <c r="F137" s="1" t="s">
        <v>1120</v>
      </c>
      <c r="G137" s="1" t="s">
        <v>85</v>
      </c>
      <c r="H137" s="1" t="s">
        <v>1121</v>
      </c>
    </row>
    <row r="138" spans="1:8" ht="81.75" customHeight="1">
      <c r="A138" s="1" t="s">
        <v>1125</v>
      </c>
      <c r="C138" s="1" t="s">
        <v>1126</v>
      </c>
      <c r="D138" s="1" t="s">
        <v>1118</v>
      </c>
      <c r="E138" s="5" t="s">
        <v>1127</v>
      </c>
      <c r="F138" s="1" t="s">
        <v>1128</v>
      </c>
      <c r="G138" s="1" t="s">
        <v>85</v>
      </c>
      <c r="H138" s="1" t="s">
        <v>1121</v>
      </c>
    </row>
    <row r="139" spans="1:8" ht="81.75" customHeight="1">
      <c r="A139" s="1" t="s">
        <v>1129</v>
      </c>
      <c r="C139" s="1" t="s">
        <v>1130</v>
      </c>
      <c r="D139" s="1" t="s">
        <v>1118</v>
      </c>
      <c r="E139" s="5" t="s">
        <v>1131</v>
      </c>
      <c r="F139" s="1" t="s">
        <v>1128</v>
      </c>
      <c r="G139" s="1" t="s">
        <v>85</v>
      </c>
      <c r="H139" s="1" t="s">
        <v>1121</v>
      </c>
    </row>
  </sheetData>
  <mergeCells count="2">
    <mergeCell ref="A1:H1"/>
    <mergeCell ref="A2:H3"/>
  </mergeCells>
  <hyperlinks>
    <hyperlink ref="E6" r:id="rId1"/>
    <hyperlink ref="E7" r:id="rId2"/>
    <hyperlink ref="E8" r:id="rId3"/>
    <hyperlink ref="E9" r:id="rId4"/>
    <hyperlink ref="E10" r:id="rId5"/>
    <hyperlink ref="E11" r:id="rId6"/>
    <hyperlink ref="E12" r:id="rId7"/>
    <hyperlink ref="E13" r:id="rId8"/>
    <hyperlink ref="E14" r:id="rId9"/>
    <hyperlink ref="E15" r:id="rId10"/>
    <hyperlink ref="E16" r:id="rId11"/>
    <hyperlink ref="E17" r:id="rId12"/>
    <hyperlink ref="E18" r:id="rId13"/>
    <hyperlink ref="E19" r:id="rId14"/>
    <hyperlink ref="E20" r:id="rId15"/>
    <hyperlink ref="E21" r:id="rId16"/>
    <hyperlink ref="E22" r:id="rId17"/>
    <hyperlink ref="E23" r:id="rId18"/>
    <hyperlink ref="E24" r:id="rId19"/>
    <hyperlink ref="E25" r:id="rId20"/>
    <hyperlink ref="E26" r:id="rId21"/>
    <hyperlink ref="E27" r:id="rId22"/>
    <hyperlink ref="E28" r:id="rId23"/>
    <hyperlink ref="E29" r:id="rId24"/>
    <hyperlink ref="E30" r:id="rId25"/>
    <hyperlink ref="E31" r:id="rId26"/>
    <hyperlink ref="E32" r:id="rId27"/>
    <hyperlink ref="E33" r:id="rId28"/>
    <hyperlink ref="E34" r:id="rId29"/>
    <hyperlink ref="E35" r:id="rId30"/>
    <hyperlink ref="E36" r:id="rId31"/>
    <hyperlink ref="E37" r:id="rId32"/>
    <hyperlink ref="E38" r:id="rId33"/>
    <hyperlink ref="E39" r:id="rId34"/>
    <hyperlink ref="E40" r:id="rId35"/>
    <hyperlink ref="E41" r:id="rId36"/>
    <hyperlink ref="E42" r:id="rId37"/>
    <hyperlink ref="E43" r:id="rId38"/>
    <hyperlink ref="E44" r:id="rId39"/>
    <hyperlink ref="E45" r:id="rId40"/>
    <hyperlink ref="E46" r:id="rId41"/>
    <hyperlink ref="E47" r:id="rId42"/>
    <hyperlink ref="E48" r:id="rId43"/>
    <hyperlink ref="E49" r:id="rId44"/>
    <hyperlink ref="E50" r:id="rId45"/>
    <hyperlink ref="E51" r:id="rId46"/>
    <hyperlink ref="E52" r:id="rId47"/>
    <hyperlink ref="E53" r:id="rId48"/>
    <hyperlink ref="E54" r:id="rId49"/>
    <hyperlink ref="E55" r:id="rId50"/>
    <hyperlink ref="E56" r:id="rId51"/>
    <hyperlink ref="E57" r:id="rId52"/>
    <hyperlink ref="E58" r:id="rId53"/>
    <hyperlink ref="E59" r:id="rId54"/>
    <hyperlink ref="E60" r:id="rId55"/>
    <hyperlink ref="E61" r:id="rId56"/>
    <hyperlink ref="E62" r:id="rId57"/>
    <hyperlink ref="E63" r:id="rId58"/>
    <hyperlink ref="E64" r:id="rId59"/>
    <hyperlink ref="E65" r:id="rId60"/>
    <hyperlink ref="E66" r:id="rId61"/>
    <hyperlink ref="E67" r:id="rId62"/>
    <hyperlink ref="E68" r:id="rId63"/>
    <hyperlink ref="E69" r:id="rId64"/>
    <hyperlink ref="E70" r:id="rId65"/>
    <hyperlink ref="E71" r:id="rId66"/>
    <hyperlink ref="E72" r:id="rId67"/>
    <hyperlink ref="E73" r:id="rId68"/>
    <hyperlink ref="E74" r:id="rId69"/>
    <hyperlink ref="E75" r:id="rId70"/>
    <hyperlink ref="E76" r:id="rId71"/>
    <hyperlink ref="E77" r:id="rId72"/>
    <hyperlink ref="E78" r:id="rId73"/>
    <hyperlink ref="E79" r:id="rId74"/>
    <hyperlink ref="E80" r:id="rId75"/>
    <hyperlink ref="E81" r:id="rId76"/>
    <hyperlink ref="E82" r:id="rId77"/>
    <hyperlink ref="E83" r:id="rId78"/>
    <hyperlink ref="E84" r:id="rId79"/>
    <hyperlink ref="E85" r:id="rId80"/>
    <hyperlink ref="E86" r:id="rId81"/>
    <hyperlink ref="E87" r:id="rId82"/>
    <hyperlink ref="E88" r:id="rId83"/>
    <hyperlink ref="E89" r:id="rId84"/>
    <hyperlink ref="E90" r:id="rId85"/>
    <hyperlink ref="E91" r:id="rId86"/>
    <hyperlink ref="E92" r:id="rId87"/>
    <hyperlink ref="E93" r:id="rId88"/>
    <hyperlink ref="E94" r:id="rId89"/>
    <hyperlink ref="E95" r:id="rId90"/>
    <hyperlink ref="E96" r:id="rId91"/>
    <hyperlink ref="E97" r:id="rId92"/>
    <hyperlink ref="E98" r:id="rId93"/>
    <hyperlink ref="E99" r:id="rId94"/>
    <hyperlink ref="E100" r:id="rId95"/>
    <hyperlink ref="E101" r:id="rId96"/>
    <hyperlink ref="E102" r:id="rId97"/>
    <hyperlink ref="E103" r:id="rId98"/>
    <hyperlink ref="E104" r:id="rId99"/>
    <hyperlink ref="E105" r:id="rId100"/>
    <hyperlink ref="E106" r:id="rId101"/>
    <hyperlink ref="E107" r:id="rId102"/>
    <hyperlink ref="E108" r:id="rId103"/>
    <hyperlink ref="E109" r:id="rId104"/>
    <hyperlink ref="E110" r:id="rId105"/>
    <hyperlink ref="E111" r:id="rId106"/>
    <hyperlink ref="E112" r:id="rId107"/>
    <hyperlink ref="E113" r:id="rId108"/>
    <hyperlink ref="E114" r:id="rId109"/>
    <hyperlink ref="E115" r:id="rId110"/>
    <hyperlink ref="E116" r:id="rId111"/>
    <hyperlink ref="E117" r:id="rId112"/>
    <hyperlink ref="E118" r:id="rId113"/>
    <hyperlink ref="E119" r:id="rId114"/>
    <hyperlink ref="E120" r:id="rId115"/>
    <hyperlink ref="E121" r:id="rId116"/>
    <hyperlink ref="E122" r:id="rId117"/>
    <hyperlink ref="E123" r:id="rId118"/>
    <hyperlink ref="E124" r:id="rId119"/>
    <hyperlink ref="E125" r:id="rId120"/>
    <hyperlink ref="E126" r:id="rId121"/>
    <hyperlink ref="E127" r:id="rId122"/>
    <hyperlink ref="E128" r:id="rId123"/>
    <hyperlink ref="E129" r:id="rId124"/>
    <hyperlink ref="E130" r:id="rId125"/>
    <hyperlink ref="E131" r:id="rId126"/>
    <hyperlink ref="E132" r:id="rId127"/>
    <hyperlink ref="E133" r:id="rId128"/>
    <hyperlink ref="E134" r:id="rId129"/>
    <hyperlink ref="E135" r:id="rId130"/>
    <hyperlink ref="E136" r:id="rId131"/>
    <hyperlink ref="E137" r:id="rId132"/>
    <hyperlink ref="E138" r:id="rId133"/>
    <hyperlink ref="E139" r:id="rId134"/>
  </hyperlinks>
  <pageMargins left="0.7" right="0.7" top="0.75" bottom="0.75" header="0.3" footer="0.3"/>
  <pageSetup paperSize="9" fitToHeight="0" orientation="landscape"/>
  <headerFooter>
    <oddFooter>&amp;LPoranki dehydrated fruit research &amp;RPage &amp;P of &amp;N</oddFooter>
  </headerFooter>
  <tableParts count="1">
    <tablePart r:id="rId13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Start Here</vt:lpstr>
      <vt:lpstr>Leads</vt:lpstr>
      <vt:lpstr>Local First</vt:lpstr>
      <vt:lpstr>Fruit Plan</vt:lpstr>
      <vt:lpstr>Business Fit</vt:lpstr>
      <vt:lpstr>Email Drafts</vt:lpstr>
      <vt:lpstr>Contact Log</vt:lpstr>
      <vt:lpstr>Pilot Costing</vt:lpstr>
      <vt:lpstr>Sources</vt:lpstr>
      <vt:lpstr>'Business Fit'!Print_Titles</vt:lpstr>
      <vt:lpstr>'Contact Log'!Print_Titles</vt:lpstr>
      <vt:lpstr>'Email Drafts'!Print_Titles</vt:lpstr>
      <vt:lpstr>'Fruit Plan'!Print_Titles</vt:lpstr>
      <vt:lpstr>Leads!Print_Titles</vt:lpstr>
      <vt:lpstr>'Local First'!Print_Titles</vt:lpstr>
      <vt:lpstr>'Pilot Costing'!Print_Titles</vt:lpstr>
      <vt:lpstr>Sources!Print_Titles</vt:lpstr>
      <vt:lpstr>'Start Here'!Print_Titles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Dehydrated fruit B2B leads from Poranki</dc:title>
  <dc:subject>50 researched prospects, product trials and outreach</dc:subject>
  <dc:creator>Business research</dc:creator>
  <dc:description>Public-source research reviewed 23 October 2026. Demand unconfirmed.</dc:description>
  <cp:lastModifiedBy>Business research</cp:lastModifiedBy>
  <dcterms:created xsi:type="dcterms:W3CDTF">2026-10-23T14:12:23Z</dcterms:created>
  <dcterms:modified xsi:type="dcterms:W3CDTF">2026-10-23T14:12:23Z</dcterms:modified>
</cp:coreProperties>
</file>